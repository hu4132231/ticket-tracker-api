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Test Cases" sheetId="1" state="visible" r:id="rId3"/>
    <sheet name="Test Summary" sheetId="2" state="visible" r:id="rId4"/>
    <sheet name="Test Report"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<sst xmlns="http://schemas.openxmlformats.org/spreadsheetml/2006/main" count="494" uniqueCount="310">
  <si>
    <t xml:space="preserve">TC ID</t>
  </si>
  <si>
    <t xml:space="preserve">Module</t>
  </si>
  <si>
    <t xml:space="preserve">Test Case Title</t>
  </si>
  <si>
    <t xml:space="preserve">Test Type</t>
  </si>
  <si>
    <t xml:space="preserve">Priority</t>
  </si>
  <si>
    <t xml:space="preserve">Preconditions</t>
  </si>
  <si>
    <t xml:space="preserve">Method</t>
  </si>
  <si>
    <t xml:space="preserve">Endpoint</t>
  </si>
  <si>
    <t xml:space="preserve">Test Data</t>
  </si>
  <si>
    <t xml:space="preserve">Test Steps</t>
  </si>
  <si>
    <t xml:space="preserve">Expected Status Code</t>
  </si>
  <si>
    <t xml:space="preserve">Expected Result</t>
  </si>
  <si>
    <t xml:space="preserve">Postman Request Name</t>
  </si>
  <si>
    <t xml:space="preserve">Actual Result</t>
  </si>
  <si>
    <t xml:space="preserve">Execution Status</t>
  </si>
  <si>
    <t xml:space="preserve">Notes</t>
  </si>
  <si>
    <t xml:space="preserve">TC-TK-001</t>
  </si>
  <si>
    <t xml:space="preserve">Ticket Management</t>
  </si>
  <si>
    <t xml:space="preserve">Verify tickets can be retrieved with a valid request.</t>
  </si>
  <si>
    <t xml:space="preserve">Positive</t>
  </si>
  <si>
    <t xml:space="preserve">High</t>
  </si>
  <si>
    <t xml:space="preserve">Django server is running. The database may contain zero or more tickets.</t>
  </si>
  <si>
    <t xml:space="preserve">GET</t>
  </si>
  <si>
    <t xml:space="preserve">{{base_url}}/api/tickets/</t>
  </si>
  <si>
    <t xml:space="preserve">No request body</t>
  </si>
  <si>
    <t xml:space="preserve">1. Select the environment containing a valid base_url.
2. Send a GET request to {{base_url}}/api/tickets/.
3. Check the HTTP status code.
4. Verify that the response body is valid JSON.
5. Verify that the response body is an array.
6. Verify the fields of each returned ticket.</t>
  </si>
  <si>
    <t xml:space="preserve">The API returns 200 OK.
The response body is a valid JSON array.
 An empty array is allowed.
Each returned ticket contains:
- id
- title
- description
- status
- created_at
- updated_at</t>
  </si>
  <si>
    <t xml:space="preserve">TC-TK-001 - List Tickets - valid request</t>
  </si>
  <si>
    <t xml:space="preserve">Received 200 OK in both execution conditions.
On a fresh database, the API returned a valid empty JSON array and all 4 Postman tests passed.
On a populated database, the API returned 12 ticket objects, and each object contained all required fields.</t>
  </si>
  <si>
    <t xml:space="preserve">Pass</t>
  </si>
  <si>
    <t xml:space="preserve">GET requests do not contain a request body.</t>
  </si>
  <si>
    <t xml:space="preserve">TC-TK-002</t>
  </si>
  <si>
    <t xml:space="preserve">Verify a ticket can be created with valid data.</t>
  </si>
  <si>
    <t xml:space="preserve">API server is running.
base_url is configured.</t>
  </si>
  <si>
    <t xml:space="preserve">POST</t>
  </si>
  <si>
    <t xml:space="preserve">{
  "title": "QA CRUD baseline 2026-07-18",
  "description": "Manual CRUD baseline test",
  "status": "open"
}</t>
  </si>
  <si>
    <t xml:space="preserve">1. Select the environment containing a valid base_url.
2. Enter a valid JSON request body.
3. Send a POST request to {{base_url}}/api/tickets/.
4. Verify that the HTTP status code is 201.
5. Verify that the response body is valid JSON.
6. Verify that the response contains the expected ticket fields.
7. Verify that title, description, and status match the request data.
8. Verify that id, created_at, and updated_at are generated.</t>
  </si>
  <si>
    <t xml:space="preserve">The API returns 201 Created.
The response body is a valid JSON object containing:
- id
- title
- description
- status
- created_at
- updated_at
The returned title, description, and status match the request data.
The id, created_at, and updated_at fields are generated by the system.</t>
  </si>
  <si>
    <t xml:space="preserve">TC-TK-002 - Create Ticket - valid data</t>
  </si>
  <si>
    <t xml:space="preserve">Received 201 Created.
The response body was a valid JSON object with id 60.
The returned title, description, and status matched the request data.
The id, created_at, and updated_at fields were generated successfully.</t>
  </si>
  <si>
    <t xml:space="preserve">Each execution creates a new ticket.
Generated id and timestamps should not be hard-coded.</t>
  </si>
  <si>
    <t xml:space="preserve">TC-TK-003</t>
  </si>
  <si>
    <t xml:space="preserve">Verify a ticket can be retrieved with a valid ID.</t>
  </si>
  <si>
    <t xml:space="preserve">API server is running.
base_url is configured.
ticket_id contains the ID of an existing ticket.</t>
  </si>
  <si>
    <t xml:space="preserve">{{base_url}}/api/tickets/{{ticket_id}}/</t>
  </si>
  <si>
    <t xml:space="preserve">ticket_id references an existing ticket.
Actual test value: 60.</t>
  </si>
  <si>
    <t xml:space="preserve">1. Select the environment containing a valid base_url and ticket_id.
2. Confirm that ticket_id references an existing ticket.
3. Send a GET request to {{base_url}}/api/tickets/{{ticket_id}}/.
4. Verify that the HTTP status code is 200.
5. Verify that the response body is valid JSON.
6. Verify that the response body is a JSON object.
7. Verify that the returned id matches ticket_id.
8. Verify that the response contains the expected ticket fields.</t>
  </si>
  <si>
    <t xml:space="preserve">The API returns 200 OK.
The response body is a valid JSON object containing:
- id
- title
- description
- status
- created_at
- updated_at
The returned id matches ticket_id.</t>
  </si>
  <si>
    <t xml:space="preserve">TC-TK-003 - Get Created Ticket - valid ID</t>
  </si>
  <si>
    <t xml:space="preserve">Received 200 OK.
The response body was a valid JSON object containing ticket ID 60.
The returned id matched ticket_id, and the response contained all expected ticket fields.</t>
  </si>
  <si>
    <t xml:space="preserve">ticket_id should be obtained dynamically from the ticket creation response and should not be hard-coded.</t>
  </si>
  <si>
    <t xml:space="preserve">TC-TK-004</t>
  </si>
  <si>
    <t xml:space="preserve">Verify a ticket can be partially updated with valid data.</t>
  </si>
  <si>
    <t xml:space="preserve">API server is running.
base_url is configured.
ticket_id contains the ID of the ticket created in TC-TK-002.</t>
  </si>
  <si>
    <t xml:space="preserve">PATCH</t>
  </si>
  <si>
    <t xml:space="preserve">{
  "title": "QA CRUD baseline update",
  "status": "in_progress"
}</t>
  </si>
  <si>
    <t xml:space="preserve">1. Select the environment containing a valid base_url and ticket_id.
2. Confirm that ticket_id references the ticket created in TC-TK-002.
3. Enter a JSON body containing only title and status.
4. Send a PATCH request to {{base_url}}/api/tickets/{{ticket_id}}/.
5. Verify that the HTTP status code is 200.
6. Verify that the response body is valid JSON.
7. Verify that the returned id matches ticket_id.
8. Verify that title and status match the PATCH request.
9. Verify that the existing description is preserved.
10. Verify that created_at and updated_at are present.</t>
  </si>
  <si>
    <t xml:space="preserve">The API returns 200 OK.
The returned id matches ticket_id.
The title is updated to "QA CRUD baseline update".
The status is updated to "in_progress".
The description remains "Manual CRUD baseline test".
created_at and updated_at are strings.</t>
  </si>
  <si>
    <t xml:space="preserve">TC-TK-004 - Update Ticket - valid partial update</t>
  </si>
  <si>
    <t xml:space="preserve">Collection Runner execution passed.
Received 200 OK. The returned id matched ticket_id, title and status matched the PATCH body, the existing description was preserved, and timestamp fields were present.</t>
  </si>
  <si>
    <t xml:space="preserve">PATCH should update only the supplied fields and preserve fields omitted from the request body.</t>
  </si>
  <si>
    <t xml:space="preserve">TC-TK-005</t>
  </si>
  <si>
    <t xml:space="preserve">Verify updated ticket data persists after retrieval.</t>
  </si>
  <si>
    <t xml:space="preserve">API server is running.
base_url is configured.
TC-TK-004 completed successfully and ticket_id references the updated ticket.</t>
  </si>
  <si>
    <t xml:space="preserve">1. Select the environment containing a valid base_url and ticket_id.
2. Confirm that TC-TK-004 completed successfully.
3. Send a GET request to {{base_url}}/api/tickets/{{ticket_id}}/.
4. Verify that the HTTP status code is 200.
5. Verify that the response body is valid JSON.
6. Verify that the returned id matches ticket_id.
7. Verify that the updated title and status remain saved.
8. Verify that the unmodified description remains unchanged.
9. Verify that created_at and updated_at are present.</t>
  </si>
  <si>
    <t xml:space="preserve">The API returns 200 OK.
The returned id matches ticket_id.
The title remains "QA CRUD baseline update".
The status remains "in_progress".
The description remains "Manual CRUD baseline test".
created_at and updated_at are strings.</t>
  </si>
  <si>
    <t xml:space="preserve">TC-TK-005 - Get Updated Ticket - verify persistence</t>
  </si>
  <si>
    <t xml:space="preserve">Collection Runner execution passed.
Received 200 OK. The updated title and status persisted, the original description remained unchanged, and the required timestamp fields were present.</t>
  </si>
  <si>
    <t xml:space="preserve">This case verifies persistence across separate PATCH and GET requests.</t>
  </si>
  <si>
    <t xml:space="preserve">TC-TK-006</t>
  </si>
  <si>
    <t xml:space="preserve">Verify an existing ticket can be deleted with a valid ID.</t>
  </si>
  <si>
    <t xml:space="preserve">DELETE</t>
  </si>
  <si>
    <t xml:space="preserve">1. Select the environment containing a valid base_url and ticket_id.
2. Confirm that ticket_id references an existing ticket.
3. Send a DELETE request to {{base_url}}/api/tickets/{{ticket_id}}/.
4. Verify that the HTTP status code is 204.
5. Verify that the response body is empty.</t>
  </si>
  <si>
    <t xml:space="preserve">The API returns 204 No Content.
The response body is empty.</t>
  </si>
  <si>
    <t xml:space="preserve">TC-TK-006 - Delete Ticket - valid ID</t>
  </si>
  <si>
    <t xml:space="preserve">Collection Runner execution passed.
Received 204 No Content and the response body was empty.</t>
  </si>
  <si>
    <t xml:space="preserve">The deleted ticket is checked again in TC-TK-007.</t>
  </si>
  <si>
    <t xml:space="preserve">TC-TK-007</t>
  </si>
  <si>
    <t xml:space="preserve">Verify a deleted ticket cannot be retrieved.</t>
  </si>
  <si>
    <t xml:space="preserve">Negative</t>
  </si>
  <si>
    <t xml:space="preserve">API server is running.
base_url is configured.
TC-TK-006 deleted the ticket referenced by ticket_id.</t>
  </si>
  <si>
    <t xml:space="preserve">1. Select the environment containing a valid base_url and ticket_id.
2. Confirm that TC-TK-006 deleted the ticket referenced by ticket_id.
3. Send a GET request to {{base_url}}/api/tickets/{{ticket_id}}/.
4. Verify that the HTTP status code is 404.
5. Verify that the response body is valid JSON.
6. Verify that the response contains a non-empty detail field.</t>
  </si>
  <si>
    <t xml:space="preserve">The API returns 404 Not Found.
The response body is valid JSON and contains a non-empty detail field.</t>
  </si>
  <si>
    <t xml:space="preserve">TC-TK-007 - Confirm Ticket Deleted - not found</t>
  </si>
  <si>
    <t xml:space="preserve">Collection Runner execution passed.
Received 404 Not Found. The response was valid JSON and contained a non-empty detail field.</t>
  </si>
  <si>
    <t xml:space="preserve">The Postman script uses jsonParseError.massage instead of jsonParseError.message in a failure message; this does not affect a successful JSON response but should be corrected.</t>
  </si>
  <si>
    <t xml:space="preserve">TC-TK-008</t>
  </si>
  <si>
    <t xml:space="preserve">Verify ticket creation fails when the required title is omitted.</t>
  </si>
  <si>
    <t xml:space="preserve">{
  "description": "Negative test for missing required title",
  "status": "open"
}</t>
  </si>
  <si>
    <t xml:space="preserve">1. Select the environment containing a valid base_url.
2. Enter a JSON request body without the title field.
3. Send a POST request to {{base_url}}/api/tickets/.
4. Verify that the HTTP status code is 400.
5. Verify that the response body is valid JSON.
6. Verify that the response contains a non-empty title error array.
7. Verify that the first title error is "This field is required.".</t>
  </si>
  <si>
    <t xml:space="preserve">The API returns 400 Bad Request.
The response body is valid JSON and contains:
- title: a non-empty array
- title[0]: "This field is required."</t>
  </si>
  <si>
    <t xml:space="preserve">TC-TK-008 - Create Ticket - missing required title</t>
  </si>
  <si>
    <t xml:space="preserve">Collection Runner execution passed.
Received 400 Bad Request. The response contained the expected required-field error for title.</t>
  </si>
  <si>
    <t xml:space="preserve">This case verifies required-field validation.</t>
  </si>
  <si>
    <t xml:space="preserve">TC-TK-009</t>
  </si>
  <si>
    <t xml:space="preserve">Verify ticket creation fails when status contains an invalid choice.</t>
  </si>
  <si>
    <t xml:space="preserve">{
  "title": "Negative test for invalid status",
  "description": "Status should only accept defined choices",
  "status": "pending"
}</t>
  </si>
  <si>
    <t xml:space="preserve">1. Select the environment containing a valid base_url.
2. Enter a JSON request body with status set to "pending".
3. Send a POST request to {{base_url}}/api/tickets/.
4. Verify that the HTTP status code is 400.
5. Verify that the response body is valid JSON.
6. Verify that the response contains a status error array.
7. Verify that the error includes "\"pending\" is not a valid choice.".</t>
  </si>
  <si>
    <t xml:space="preserve">The API returns 400 Bad Request.
The response body is valid JSON and the status error array includes:
"pending" is not a valid choice.</t>
  </si>
  <si>
    <t xml:space="preserve">TC-TK-009 - Create Ticket - invalid status</t>
  </si>
  <si>
    <t xml:space="preserve">Collection Runner execution passed.
Received 400 Bad Request. The response contained the expected invalid-choice error for status.</t>
  </si>
  <si>
    <t xml:space="preserve">Valid status choices used by the current project include open and in_progress.</t>
  </si>
  <si>
    <t xml:space="preserve">TC-TK-010</t>
  </si>
  <si>
    <t xml:space="preserve">Verify ticket creation fails when title exceeds 200 characters.</t>
  </si>
  <si>
    <t xml:space="preserve">Boundary</t>
  </si>
  <si>
    <t xml:space="preserve">Medium</t>
  </si>
  <si>
    <t xml:space="preserve">{
  "title": "{{long_title}}",
  "description": "Boundary test for title longer than 200 characters",
  "status": "open"
}
Pre-request variable: long_title = "A" repeated 201 times.</t>
  </si>
  <si>
    <t xml:space="preserve">1. Select the environment containing a valid base_url.
2. Run the pre-request script to generate long_title with 201 characters.
3. Send a POST request to {{base_url}}/api/tickets/.
4. Verify that the HTTP status code is 400.
5. Verify that the response body is valid JSON.
6. Verify that long_title contains exactly 201 characters.
7. Verify that the title error states the 200-character maximum.</t>
  </si>
  <si>
    <t xml:space="preserve">The API returns 400 Bad Request.
long_title contains 201 characters.
The response contains a title error:
"Ensure this field has no more than 200 characters."</t>
  </si>
  <si>
    <t xml:space="preserve">TC-TK-010 - Create Ticket - title exceeds maximum length</t>
  </si>
  <si>
    <t xml:space="preserve">Collection Runner execution passed.
Received 400 Bad Request. The generated title contained 201 characters and the expected maximum-length error was returned.</t>
  </si>
  <si>
    <t xml:space="preserve">Boundary value above the maximum: 201 characters.</t>
  </si>
  <si>
    <t xml:space="preserve">TC-TK-011</t>
  </si>
  <si>
    <t xml:space="preserve">Verify a ticket can be created when title is exactly 200 characters.</t>
  </si>
  <si>
    <t xml:space="preserve">{
  "title": "{{max_length_title}}",
  "description": "Boundary test for title exactly 200 characters",
  "status": "open"
}
Pre-request variable: max_length_title = "A" repeated 200 times.</t>
  </si>
  <si>
    <t xml:space="preserve">1. Select the environment containing a valid base_url.
2. Run the pre-request script to generate max_length_title with 200 characters.
3. Send a POST request to {{base_url}}/api/tickets/.
4. Verify that the HTTP status code is 201.
5. Verify that the response body is valid JSON.
6. Verify that the returned title contains exactly 200 characters.
7. Verify that the returned title matches max_length_title.
8. Verify that the response contains a numeric id.
9. Save the id as boundary_ticket_id.</t>
  </si>
  <si>
    <t xml:space="preserve">The API returns 201 Created.
The response contains a title string with exactly 200 characters.
The title matches max_length_title.
The response contains a numeric id, which is saved as boundary_ticket_id.</t>
  </si>
  <si>
    <t xml:space="preserve">TC-TK-011 - Create Ticket - title at maximum length</t>
  </si>
  <si>
    <t xml:space="preserve">Collection Runner execution passed.
Received 201 Created. The 200-character title was accepted, matched the generated value, and a numeric boundary_ticket_id was stored.</t>
  </si>
  <si>
    <t xml:space="preserve">Boundary value at the maximum: 200 characters. The created record is removed in TC-TK-012.</t>
  </si>
  <si>
    <t xml:space="preserve">TC-TK-012</t>
  </si>
  <si>
    <t xml:space="preserve">Verify the boundary test ticket can be deleted during cleanup.</t>
  </si>
  <si>
    <t xml:space="preserve">Low</t>
  </si>
  <si>
    <t xml:space="preserve">API server is running.
base_url is configured.
boundary_ticket_id was created and stored by TC-TK-011.</t>
  </si>
  <si>
    <t xml:space="preserve">{{base_url}}/api/tickets/{{boundary_ticket_id}}/</t>
  </si>
  <si>
    <t xml:space="preserve">1. Confirm that boundary_ticket_id is available.
2. Send a DELETE request to {{base_url}}/api/tickets/{{boundary_ticket_id}}/.
3. Verify that the HTTP status code is 204.
4. Verify that the response body is empty.
5. Unset boundary_ticket_id after the cleanup request.</t>
  </si>
  <si>
    <t xml:space="preserve">The API returns 204 No Content.
The response body is empty.
boundary_ticket_id is removed from collection variables.</t>
  </si>
  <si>
    <t xml:space="preserve">TC-TK-012 - Delete Boundary Test Ticket - cleanup</t>
  </si>
  <si>
    <t xml:space="preserve">Collection Runner execution passed.
Received 204 No Content, the response body was empty, and boundary_ticket_id was unset.</t>
  </si>
  <si>
    <t xml:space="preserve">Cleanup case used to avoid leaving boundary-test data in the database.</t>
  </si>
  <si>
    <t xml:space="preserve">TC-TK-013</t>
  </si>
  <si>
    <t xml:space="preserve">Verify ticket creation fails when title is an empty string.</t>
  </si>
  <si>
    <t xml:space="preserve">{
  "title": "",
  "description": "Negative test for blank title",
  "status": "open"
}</t>
  </si>
  <si>
    <t xml:space="preserve">1. Select the environment containing a valid base_url.
2. Enter a JSON request body with title set to an empty string.
3. Send a POST request to {{base_url}}/api/tickets/.
4. Verify that the HTTP status code is 400.
5. Verify that the response body is valid JSON.
6. Verify that the response contains a title error array.
7. Verify that the error includes "This field may not be blank.".</t>
  </si>
  <si>
    <t xml:space="preserve">The API returns 400 Bad Request.
The response body is valid JSON and the title error array includes:
"This field may not be blank."</t>
  </si>
  <si>
    <t xml:space="preserve">TC-TK-013 - Create Ticket - blank title</t>
  </si>
  <si>
    <t xml:space="preserve">Collection Runner execution passed.
Received 400 Bad Request. The response contained the expected blank-field error for title.</t>
  </si>
  <si>
    <t xml:space="preserve">Empty string and omitted field are tested separately.</t>
  </si>
  <si>
    <t xml:space="preserve">TC-TK-014</t>
  </si>
  <si>
    <t xml:space="preserve">Verify ticket creation fails when title contains only whitespace.</t>
  </si>
  <si>
    <t xml:space="preserve">{
  "title": " ",
  "description": "Negative test for whitespace-only title",
  "status": "open"
}</t>
  </si>
  <si>
    <t xml:space="preserve">1. Select the environment containing a valid base_url.
2. Enter a JSON request body with title containing one space.
3. Send a POST request to {{base_url}}/api/tickets/.
4. Verify that the HTTP status code is 400.
5. Verify that the response body is valid JSON.
6. Verify that the request title length is 1 and trim() produces an empty string.
7. Verify that the response contains the blank-field error for title.</t>
  </si>
  <si>
    <t xml:space="preserve">The API returns 400 Bad Request.
The request title contains only whitespace.
The response title error array includes:
"This field may not be blank."</t>
  </si>
  <si>
    <t xml:space="preserve">TC-TK-014 - Create Ticket - whitespace-only title</t>
  </si>
  <si>
    <t xml:space="preserve">Collection Runner execution passed.
Received 400 Bad Request. The request title contained only whitespace and the expected blank-field error was returned.</t>
  </si>
  <si>
    <t xml:space="preserve">This case verifies whitespace trimming and blank validation.</t>
  </si>
  <si>
    <t xml:space="preserve">TC-TK-015</t>
  </si>
  <si>
    <t xml:space="preserve">Verify omitted status uses the default value.</t>
  </si>
  <si>
    <t xml:space="preserve">{
  "title": "Test default ticket status",
  "description": "Status is intentionally omitted"
}</t>
  </si>
  <si>
    <t xml:space="preserve">1. Select the environment containing a valid base_url.
2. Enter a JSON request body that omits the status field.
3. Send a POST request to {{base_url}}/api/tickets/.
4. Verify that the HTTP status code is 201.
5. Verify that the response body is valid JSON.
6. Verify that the request body does not contain status.
7. Verify that the response status is "open".
8. Verify that the response contains a numeric id.
9. Save the id as default_ticket_id.</t>
  </si>
  <si>
    <t xml:space="preserve">The API returns 201 Created.
The request omits status.
The created ticket has status "open".
The response contains a numeric id, which is saved as default_ticket_id.</t>
  </si>
  <si>
    <t xml:space="preserve">TC-TK-015 - Create Ticket - omitted status uses default</t>
  </si>
  <si>
    <t xml:space="preserve">Collection Runner execution passed.
Received 201 Created. The request omitted status, the response used the default value "open", and a numeric default_ticket_id was stored.</t>
  </si>
  <si>
    <t xml:space="preserve">The created record is removed in TC-TK-016.</t>
  </si>
  <si>
    <t xml:space="preserve">TC-TK-016</t>
  </si>
  <si>
    <t xml:space="preserve">Verify the default-status ticket can be deleted during cleanup.</t>
  </si>
  <si>
    <t xml:space="preserve">API server is running.
base_url is configured.
default_ticket_id was created and stored by TC-TK-015.</t>
  </si>
  <si>
    <t xml:space="preserve">{{base_url}}/api/tickets/{{default_ticket_id}}/</t>
  </si>
  <si>
    <t xml:space="preserve">1. Confirm that default_ticket_id is available.
2. Send a DELETE request to {{base_url}}/api/tickets/{{default_ticket_id}}/.
3. Verify that the HTTP status code is 204.
4. Verify that the response body is empty.
5. Unset default_ticket_id after the cleanup request.</t>
  </si>
  <si>
    <t xml:space="preserve">The API returns 204 No Content.
The response body is empty.
default_ticket_id should be removed from collection variables.</t>
  </si>
  <si>
    <t xml:space="preserve">TC-TK-016 - Delete Default Status Ticket - cleanup</t>
  </si>
  <si>
    <t xml:space="preserve">Collection review finding: the script currently unsets default_ticket_id_ticket_id instead of default_ticket_id, so the intended cleanup variable remains set.</t>
  </si>
  <si>
    <t xml:space="preserve">TC-TK-017</t>
  </si>
  <si>
    <t xml:space="preserve">Verify ticket creation fails when title is null.</t>
  </si>
  <si>
    <t xml:space="preserve">{
  "title": null,
  "description": "Negative test for null title",
  "status": "open"
}</t>
  </si>
  <si>
    <t xml:space="preserve">1. Select the environment containing a valid base_url.
2. Enter a JSON request body with title set to null.
3. Send a POST request to {{base_url}}/api/tickets/.
4. Verify that the HTTP status code is 400.
5. Verify that the response body is valid JSON.
6. Verify that the request contains title with a null value.
7. Verify that the response contains the null-field error for title.</t>
  </si>
  <si>
    <t xml:space="preserve">The API returns 400 Bad Request.
The response title error array includes:
"This field may not be null."</t>
  </si>
  <si>
    <t xml:space="preserve">TC-TK-017 - Create Ticket - null title</t>
  </si>
  <si>
    <t xml:space="preserve">Collection Runner execution passed.
Received 400 Bad Request. The request title was null and the expected null-field error was returned.</t>
  </si>
  <si>
    <t xml:space="preserve">Null, blank, whitespace-only, and omitted title are separate validation conditions.</t>
  </si>
  <si>
    <t xml:space="preserve">TC-TK-018</t>
  </si>
  <si>
    <t xml:space="preserve">Verify ticket creation fails when status is null.</t>
  </si>
  <si>
    <t xml:space="preserve">{
  "title": "Negative test for invalid status",
  "description": "Status is explicitly set to null",
  "status": null
}</t>
  </si>
  <si>
    <t xml:space="preserve">1. Select the environment containing a valid base_url.
2. Enter a JSON request body with status set to null.
3. Send a POST request to {{base_url}}/api/tickets/.
4. Verify that the HTTP status code is 400.
5. Verify that the response body is valid JSON.
6. Verify that the request contains status with a null value.
7. Verify that the response contains the null-field error for status.</t>
  </si>
  <si>
    <t xml:space="preserve">The API returns 400 Bad Request.
The response status error array includes:
"This field may not be null."</t>
  </si>
  <si>
    <t xml:space="preserve">TC-TK-018 - Create Ticket - null status</t>
  </si>
  <si>
    <t xml:space="preserve">Collection Runner execution passed.
Received 400 Bad Request. The request status was null and the expected null-field error was returned.</t>
  </si>
  <si>
    <t xml:space="preserve">Omitted status is allowed and uses a default, but an explicitly null status is rejected.</t>
  </si>
  <si>
    <t xml:space="preserve">TC-TK-019</t>
  </si>
  <si>
    <t xml:space="preserve">Verify ticket creation fails when status is an empty string.</t>
  </si>
  <si>
    <t xml:space="preserve">{
  "title": "Negative test for blank status",
  "description": "Status is explicitly set to an empty string",
  "status": ""
}</t>
  </si>
  <si>
    <t xml:space="preserve">1. Select the environment containing a valid base_url.
2. Enter a JSON request body with status set to an empty string.
3. Send a POST request to {{base_url}}/api/tickets/.
4. Verify that the HTTP status code is 400.
5. Verify that the response body is valid JSON.
6. Verify that the request status is an empty string.
7. Verify that the response contains an invalid-choice error for status.</t>
  </si>
  <si>
    <t xml:space="preserve">The API returns 400 Bad Request.
The response status error array includes:
"" is not a valid choice.</t>
  </si>
  <si>
    <t xml:space="preserve">TC-TK-019 - Create Ticket - blank status</t>
  </si>
  <si>
    <t xml:space="preserve">Collection Runner execution passed.
Received 400 Bad Request. The request status was an empty string and the expected invalid-choice error was returned.</t>
  </si>
  <si>
    <t xml:space="preserve">Blank status and omitted status have different expected behavior.</t>
  </si>
  <si>
    <t xml:space="preserve">TC-TK-020</t>
  </si>
  <si>
    <t xml:space="preserve">Verify ticket creation fails when description is null.</t>
  </si>
  <si>
    <t xml:space="preserve">{
  "title": "Negative test for null description",
  "description": null,
  "status": "open"
}</t>
  </si>
  <si>
    <t xml:space="preserve">1. Select the environment containing a valid base_url.
2. Enter a JSON request body with description set to null.
3. Send a POST request to {{base_url}}/api/tickets/.
4. Verify that the HTTP status code is 400.
5. Verify that the response body is valid JSON.
6. Verify that the request contains description with a null value.
7. Verify that the response contains the null-field error for description.</t>
  </si>
  <si>
    <t xml:space="preserve">The API returns 400 Bad Request.
The response description error array includes:
"This field may not be null."</t>
  </si>
  <si>
    <t xml:space="preserve">TC-TK-020 - Create Ticket - null description</t>
  </si>
  <si>
    <t xml:space="preserve">Collection Runner execution passed.
Received 400 Bad Request. The request description was null and the expected null-field error was returned.</t>
  </si>
  <si>
    <t xml:space="preserve">Blank and omitted descriptions are allowed, while a null description is rejected.</t>
  </si>
  <si>
    <t xml:space="preserve">TC-TK-021</t>
  </si>
  <si>
    <t xml:space="preserve">Verify a whitespace-only description is normalized to an empty string.</t>
  </si>
  <si>
    <t xml:space="preserve">{
  "title": "Validation test for blank description",
  "description": " ",
  "status": "open"
}</t>
  </si>
  <si>
    <t xml:space="preserve">1. Select the environment containing a valid base_url.
2. Enter a JSON request body with description containing one space.
3. Send a POST request to {{base_url}}/api/tickets/.
4. Verify that the HTTP status code is 201.
5. Verify that the response body is valid JSON.
6. Verify that the response description is an empty string.
7. Verify that the response contains a numeric id.
8. Save the id as blank_description_ticket_id.</t>
  </si>
  <si>
    <t xml:space="preserve">The API returns 201 Created.
The response description is an empty string.
The response contains a numeric id, which is saved as blank_description_ticket_id.</t>
  </si>
  <si>
    <t xml:space="preserve">TC-TK-021 - Create Ticket - blank description allowed</t>
  </si>
  <si>
    <t xml:space="preserve">Collection Runner execution passed.
Received 201 Created. The whitespace-only description was returned as an empty string and a numeric id was stored.</t>
  </si>
  <si>
    <t xml:space="preserve">Collection review finding: the exported raw request body contains an inline // comment after the title field. Remove the comment if strict JSON parsing rejects the request. The created record is removed in TC-TK-022.</t>
  </si>
  <si>
    <t xml:space="preserve">TC-TK-022</t>
  </si>
  <si>
    <t xml:space="preserve">Verify the blank-description ticket can be deleted during cleanup.</t>
  </si>
  <si>
    <t xml:space="preserve">API server is running.
base_url is configured.
blank_description_ticket_id was created and stored by TC-TK-021.</t>
  </si>
  <si>
    <t xml:space="preserve">{{base_url}}/api/tickets/{{blank_description_ticket_id}}/</t>
  </si>
  <si>
    <t xml:space="preserve">1. Confirm that blank_description_ticket_id is available.
2. Send a DELETE request to {{base_url}}/api/tickets/{{blank_description_ticket_id}}/.
3. Verify that the HTTP status code is 204.
4. Verify that the response body is empty.
5. Unset blank_description_ticket_id after the cleanup request.</t>
  </si>
  <si>
    <t xml:space="preserve">The API returns 204 No Content.
The response body is empty.
blank_description_ticket_id is removed from collection variables.</t>
  </si>
  <si>
    <t xml:space="preserve">TC-TK-022 - Delete Blank Description Ticket - cleanup</t>
  </si>
  <si>
    <t xml:space="preserve">Collection Runner execution passed.
Received 204 No Content, the response body was empty, and blank_description_ticket_id was unset.</t>
  </si>
  <si>
    <t xml:space="preserve">Cleanup case used to avoid leaving validation-test data in the database.</t>
  </si>
  <si>
    <t xml:space="preserve">TC-TK-023</t>
  </si>
  <si>
    <t xml:space="preserve">Verify omitted description uses an empty string.</t>
  </si>
  <si>
    <t xml:space="preserve">{
  "title": "Validation test for omitted description",
  "status": "open"
}</t>
  </si>
  <si>
    <t xml:space="preserve">1. Select the environment containing a valid base_url.
2. Enter a JSON request body that omits the description field.
3. Send a POST request to {{base_url}}/api/tickets/.
4. Verify that the HTTP status code is 201.
5. Verify that the response body is valid JSON.
6. Verify that the request body does not contain description.
7. Verify that the response description is an empty string.
8. Verify that the response contains a numeric id.
9. Save the id as omitted_description_ticket_id.</t>
  </si>
  <si>
    <t xml:space="preserve">The API returns 201 Created.
The request omits description.
The response description is an empty string.
The response contains a numeric id, which is saved as omitted_description_ticket_id.</t>
  </si>
  <si>
    <t xml:space="preserve">TC-TK-023 - Create Ticket - omitted description allowed</t>
  </si>
  <si>
    <t xml:space="preserve">Collection Runner execution passed.
Received 201 Created. The request omitted description, the response used an empty string, and a numeric omitted_description_ticket_id was stored.</t>
  </si>
  <si>
    <t xml:space="preserve">The created record is removed in TC-TK-024.</t>
  </si>
  <si>
    <t xml:space="preserve">TC-TK-024</t>
  </si>
  <si>
    <t xml:space="preserve">Verify the omitted-description ticket can be deleted during cleanup.</t>
  </si>
  <si>
    <t xml:space="preserve">API server is running.
base_url is configured.
omitted_description_ticket_id was created and stored by TC-TK-023.</t>
  </si>
  <si>
    <t xml:space="preserve">{{base_url}}/api/tickets/{{omitted_description_ticket_id}}/</t>
  </si>
  <si>
    <t xml:space="preserve">1. Confirm that omitted_description_ticket_id is available.
2. Send a DELETE request to {{base_url}}/api/tickets/{{omitted_description_ticket_id}}/.
3. Verify that the HTTP status code is 204.
4. Verify that the response body is empty.
5. Unset omitted_description_ticket_id after the cleanup request.</t>
  </si>
  <si>
    <t xml:space="preserve">The API returns 204 No Content.
The response body is empty.
omitted_description_ticket_id should be removed from collection variables.</t>
  </si>
  <si>
    <t xml:space="preserve">TC-TK-024 - Delete Omitted Description Ticket - cleanup</t>
  </si>
  <si>
    <t xml:space="preserve">Collection review finding: the script currently unsets omitted_description_ticket_id_description_ticket_id instead of omitted_description_ticket_id, so the intended cleanup variable remains set.</t>
  </si>
  <si>
    <t xml:space="preserve">Ticket Tracker API - Test Summary</t>
  </si>
  <si>
    <t xml:space="preserve">Count</t>
  </si>
  <si>
    <t xml:space="preserve">HTTP Method</t>
  </si>
  <si>
    <t xml:space="preserve">Total Test Cases</t>
  </si>
  <si>
    <t xml:space="preserve">Fail</t>
  </si>
  <si>
    <t xml:space="preserve">Not Run</t>
  </si>
  <si>
    <t xml:space="preserve">Collection Runner Evidence</t>
  </si>
  <si>
    <t xml:space="preserve">Metric</t>
  </si>
  <si>
    <t xml:space="preserve">Result</t>
  </si>
  <si>
    <t xml:space="preserve">Environment</t>
  </si>
  <si>
    <t xml:space="preserve">Ticket Tracker Local</t>
  </si>
  <si>
    <t xml:space="preserve">Average Response Time</t>
  </si>
  <si>
    <t xml:space="preserve">5 ms</t>
  </si>
  <si>
    <t xml:space="preserve">Test Case Pass Rate</t>
  </si>
  <si>
    <t xml:space="preserve">Iterations</t>
  </si>
  <si>
    <t xml:space="preserve">Execution Date</t>
  </si>
  <si>
    <t xml:space="preserve">2026-07-22 17:25 (local time)</t>
  </si>
  <si>
    <t xml:space="preserve">Assertion Pass Rate</t>
  </si>
  <si>
    <t xml:space="preserve">Postman Assertions</t>
  </si>
  <si>
    <t xml:space="preserve">Failed Assertions</t>
  </si>
  <si>
    <t xml:space="preserve">Errors</t>
  </si>
  <si>
    <t xml:space="preserve">Duration</t>
  </si>
  <si>
    <t xml:space="preserve">797 ms</t>
  </si>
  <si>
    <t xml:space="preserve">Ticket Tracker API - API Test Report</t>
  </si>
  <si>
    <t xml:space="preserve">Document Information</t>
  </si>
  <si>
    <t xml:space="preserve">Project</t>
  </si>
  <si>
    <t xml:space="preserve">Ticket Tracker API</t>
  </si>
  <si>
    <t xml:space="preserve">Document</t>
  </si>
  <si>
    <t xml:space="preserve">API Test Report</t>
  </si>
  <si>
    <t xml:space="preserve">Version</t>
  </si>
  <si>
    <t xml:space="preserve">1.2</t>
  </si>
  <si>
    <t xml:space="preserve">Prepared Date</t>
  </si>
  <si>
    <t xml:space="preserve">Test Environment</t>
  </si>
  <si>
    <t xml:space="preserve">Base URL</t>
  </si>
  <si>
    <t xml:space="preserve">http://127.0.0.1:8000</t>
  </si>
  <si>
    <t xml:space="preserve">Postman Collection</t>
  </si>
  <si>
    <t xml:space="preserve">Ticket Tracker API - QA Testing (Collection v2.1.0)</t>
  </si>
  <si>
    <t xml:space="preserve">Test Objective</t>
  </si>
  <si>
    <t xml:space="preserve">Objective</t>
  </si>
  <si>
    <t xml:space="preserve">Verify the Ticket Tracker API CRUD workflow, field validation, boundary behavior, default values, persistence, and cleanup behavior.</t>
  </si>
  <si>
    <t xml:space="preserve">In Scope</t>
  </si>
  <si>
    <t xml:space="preserve">24 API test cases covering list, create, retrieve, partial update, delete, validation errors, boundary values, default values, and test-data cleanup.</t>
  </si>
  <si>
    <t xml:space="preserve">Out of Scope</t>
  </si>
  <si>
    <t xml:space="preserve">Web UI, mobile app, authentication/authorization, performance or stress testing, production deployment, direct database queries, and hardware integration.</t>
  </si>
  <si>
    <t xml:space="preserve">Execution Method</t>
  </si>
  <si>
    <t xml:space="preserve">Postman Collection Runner with one iteration using the Ticket Tracker Local environment.</t>
  </si>
  <si>
    <t xml:space="preserve">Execution Summary</t>
  </si>
  <si>
    <t xml:space="preserve">Passed Test Cases</t>
  </si>
  <si>
    <t xml:space="preserve">Failed Test Cases</t>
  </si>
  <si>
    <t xml:space="preserve">Skipped Tests</t>
  </si>
  <si>
    <t xml:space="preserve">Runner Errors</t>
  </si>
  <si>
    <t xml:space="preserve">Overall Result</t>
  </si>
  <si>
    <t xml:space="preserve">Evidence and Traceability</t>
  </si>
  <si>
    <t xml:space="preserve">Collection File</t>
  </si>
  <si>
    <t xml:space="preserve">Ticket Tracker API - QA Testing.postman_collection.json</t>
  </si>
  <si>
    <t xml:space="preserve">Environment File</t>
  </si>
  <si>
    <t xml:space="preserve">Ticket Tracker Local.postman_environment.json</t>
  </si>
  <si>
    <t xml:space="preserve">Runner Screenshot</t>
  </si>
  <si>
    <t xml:space="preserve">postman-runner-91-passed.jpg</t>
  </si>
  <si>
    <t xml:space="preserve">Test Case Workbook</t>
  </si>
  <si>
    <t xml:space="preserve">test-cases-final.xlsx</t>
  </si>
  <si>
    <t xml:space="preserve">Traceability</t>
  </si>
  <si>
    <t xml:space="preserve">Each Test Case ID matches the corresponding Postman request name from TC-TK-001 through TC-TK-024.</t>
  </si>
  <si>
    <t xml:space="preserve">Actual Result Basis</t>
  </si>
  <si>
    <t xml:space="preserve">TC-TK-001 through TC-TK-003 include manually observed response details. TC-TK-004 through TC-TK-024 summarize configured Postman assertions and the successful Collection Runner result.</t>
  </si>
  <si>
    <t xml:space="preserve">Collection Review Status</t>
  </si>
  <si>
    <t xml:space="preserve">Status</t>
  </si>
  <si>
    <t xml:space="preserve">Resolved</t>
  </si>
  <si>
    <t xml:space="preserve">Summary</t>
  </si>
  <si>
    <t xml:space="preserve">The Postman Collection was reviewed and updated. TC-TK-001 now validates the status code, JSON format, array response, and required ticket fields.</t>
  </si>
  <si>
    <t xml:space="preserve">Limitations</t>
  </si>
  <si>
    <t xml:space="preserve">Runner Export</t>
  </si>
  <si>
    <t xml:space="preserve">A machine-readable Postman Runner result was not exported because the GUI export feature requires a paid plan.</t>
  </si>
  <si>
    <t xml:space="preserve">Per-request Responses</t>
  </si>
  <si>
    <t xml:space="preserve">The exported Collection does not include saved example responses, so exact response bodies for TC-TK-004 through TC-TK-024 are not available in the source files.</t>
  </si>
  <si>
    <t xml:space="preserve">Database State</t>
  </si>
  <si>
    <t xml:space="preserve">Create requests modify the local SQLite database. Cleanup requests remove the boundary, default-status, blank-description, and omitted-description test records.</t>
  </si>
  <si>
    <t xml:space="preserve">Performance Interpretation</t>
  </si>
  <si>
    <t xml:space="preserve">The 5 ms average response time is from one local Fresh Clone iteration and should not be treated as a production performance benchmark.</t>
  </si>
  <si>
    <t xml:space="preserve">Conclusion</t>
  </si>
  <si>
    <t xml:space="preserve">The Ticket Tracker API completed the tested CRUD, validation, boundary, default-value, persistence, and cleanup scenarios with 24 documented test cases and 91 passing Postman assertions.</t>
  </si>
  <si>
    <t xml:space="preserve">Next Improvement</t>
  </si>
  <si>
    <t xml:space="preserve">Add a machine-readable Newman or Postman CLI report and basic SQL validation as future portfolio enhancements.</t>
  </si>
</sst>
</file>

<file path=xl/styles.xml><?xml version="1.0" encoding="utf-8"?>
<styleSheet xmlns="http://schemas.openxmlformats.org/spreadsheetml/2006/main">
  <numFmts count="7">
    <numFmt numFmtId="164" formatCode="General"/>
    <numFmt numFmtId="165" formatCode="_(* #,##0.00_);_(* \(#,##0.00\);_(* \-??_);_(@_)"/>
    <numFmt numFmtId="166" formatCode="_(* #,##0_);_(* \(#,##0\);_(* \-_);_(@_)"/>
    <numFmt numFmtId="167" formatCode="_(\$* #,##0.00_);_(\$* \(#,##0.00\);_(\$* \-??_);_(@_)"/>
    <numFmt numFmtId="168" formatCode="_(\$* #,##0_);_(\$* \(#,##0\);_(\$* \-_);_(@_)"/>
    <numFmt numFmtId="169" formatCode="0%"/>
    <numFmt numFmtId="170" formatCode="0.0%"/>
  </numFmts>
  <fonts count="16">
    <font>
      <sz val="10"/>
      <name val="Arial"/>
      <family val="2"/>
      <charset val="136"/>
    </font>
    <font>
      <sz val="10"/>
      <name val="Arial"/>
      <family val="0"/>
      <charset val="136"/>
    </font>
    <font>
      <sz val="10"/>
      <name val="Arial"/>
      <family val="0"/>
      <charset val="136"/>
    </font>
    <font>
      <sz val="10"/>
      <name val="Arial"/>
      <family val="0"/>
      <charset val="136"/>
    </font>
    <font>
      <sz val="10"/>
      <name val="Arial"/>
      <family val="0"/>
      <charset val="1"/>
    </font>
    <font>
      <sz val="11"/>
      <color theme="1"/>
      <name val="新細明體"/>
      <family val="0"/>
      <charset val="1"/>
    </font>
    <font>
      <sz val="11"/>
      <color theme="1"/>
      <name val="Times New Roman"/>
      <family val="0"/>
      <charset val="1"/>
    </font>
    <font>
      <b val="true"/>
      <sz val="10"/>
      <color rgb="FFFFFFFF"/>
      <name val="Arial"/>
      <family val="0"/>
      <charset val="1"/>
    </font>
    <font>
      <sz val="10"/>
      <color theme="1"/>
      <name val="Arial"/>
      <family val="0"/>
      <charset val="1"/>
    </font>
    <font>
      <b val="true"/>
      <sz val="10"/>
      <color rgb="FF1F1F1F"/>
      <name val="Arial"/>
      <family val="0"/>
      <charset val="1"/>
    </font>
    <font>
      <b val="true"/>
      <sz val="18"/>
      <color rgb="FF000000"/>
      <name val="Calibri"/>
      <family val="2"/>
    </font>
    <font>
      <sz val="10"/>
      <color rgb="FF000000"/>
      <name val="Calibri"/>
      <family val="2"/>
    </font>
    <font>
      <b val="true"/>
      <sz val="14"/>
      <color rgb="FFFFFFFF"/>
      <name val="Arial"/>
      <family val="0"/>
      <charset val="1"/>
    </font>
    <font>
      <sz val="10"/>
      <color rgb="FF000000"/>
      <name val="Arial"/>
      <family val="0"/>
      <charset val="1"/>
    </font>
    <font>
      <b val="true"/>
      <sz val="10"/>
      <color rgb="FF000000"/>
      <name val="Arial"/>
      <family val="0"/>
      <charset val="1"/>
    </font>
    <font>
      <b val="true"/>
      <sz val="10"/>
      <color rgb="FF00610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4F8FB"/>
        <bgColor rgb="FFFFFFFF"/>
      </patternFill>
    </fill>
    <fill>
      <patternFill patternType="solid">
        <fgColor rgb="FFD9EAF7"/>
        <bgColor rgb="FFD9EAD3"/>
      </patternFill>
    </fill>
    <fill>
      <patternFill patternType="solid">
        <fgColor rgb="FFD9EAD3"/>
        <bgColor rgb="FFE2F0D9"/>
      </patternFill>
    </fill>
    <fill>
      <patternFill patternType="solid">
        <fgColor rgb="FFE2F0D9"/>
        <bgColor rgb="FFD9EAD3"/>
      </patternFill>
    </fill>
    <fill>
      <patternFill patternType="solid">
        <fgColor rgb="FF5B9BD5"/>
        <bgColor rgb="FF808080"/>
      </patternFill>
    </fill>
  </fills>
  <borders count="24">
    <border diagonalUp="false" diagonalDown="false">
      <left/>
      <right/>
      <top/>
      <bottom/>
      <diagonal/>
    </border>
    <border diagonalUp="false" diagonalDown="false">
      <left style="thin">
        <color rgb="FFB7C9D6"/>
      </left>
      <right/>
      <top style="thin">
        <color rgb="FFB7C9D6"/>
      </top>
      <bottom/>
      <diagonal/>
    </border>
    <border diagonalUp="false" diagonalDown="false">
      <left/>
      <right/>
      <top style="thin">
        <color rgb="FFB7C9D6"/>
      </top>
      <bottom/>
      <diagonal/>
    </border>
    <border diagonalUp="false" diagonalDown="false">
      <left/>
      <right style="thin">
        <color rgb="FFB7C9D6"/>
      </right>
      <top style="thin">
        <color rgb="FFB7C9D6"/>
      </top>
      <bottom/>
      <diagonal/>
    </border>
    <border diagonalUp="false" diagonalDown="false">
      <left style="thin">
        <color rgb="FFB7C9D6"/>
      </left>
      <right/>
      <top/>
      <bottom/>
      <diagonal/>
    </border>
    <border diagonalUp="false" diagonalDown="false">
      <left/>
      <right style="thin">
        <color rgb="FFB7C9D6"/>
      </right>
      <top/>
      <bottom/>
      <diagonal/>
    </border>
    <border diagonalUp="false" diagonalDown="false">
      <left style="thin">
        <color rgb="FFB7C9D6"/>
      </left>
      <right/>
      <top/>
      <bottom style="thin">
        <color rgb="FFB7C9D6"/>
      </bottom>
      <diagonal/>
    </border>
    <border diagonalUp="false" diagonalDown="false">
      <left/>
      <right/>
      <top/>
      <bottom style="thin">
        <color rgb="FFB7C9D6"/>
      </bottom>
      <diagonal/>
    </border>
    <border diagonalUp="false" diagonalDown="false">
      <left/>
      <right style="thin">
        <color rgb="FFB7C9D6"/>
      </right>
      <top/>
      <bottom style="thin">
        <color rgb="FFB7C9D6"/>
      </bottom>
      <diagonal/>
    </border>
    <border diagonalUp="false" diagonalDown="false">
      <left style="thin">
        <color rgb="FFB7C9D6"/>
      </left>
      <right style="thin">
        <color rgb="FFB7C9D6"/>
      </right>
      <top/>
      <bottom/>
      <diagonal/>
    </border>
    <border diagonalUp="false" diagonalDown="false">
      <left style="thin">
        <color rgb="FFB7B7B7"/>
      </left>
      <right/>
      <top style="thin">
        <color rgb="FFB7B7B7"/>
      </top>
      <bottom/>
      <diagonal/>
    </border>
    <border diagonalUp="false" diagonalDown="false">
      <left style="thin">
        <color rgb="FFB7B7B7"/>
      </left>
      <right/>
      <top/>
      <bottom/>
      <diagonal/>
    </border>
    <border diagonalUp="false" diagonalDown="false">
      <left/>
      <right style="thin">
        <color rgb="FFB7B7B7"/>
      </right>
      <top/>
      <bottom/>
      <diagonal/>
    </border>
    <border diagonalUp="false" diagonalDown="false">
      <left style="thin">
        <color rgb="FFB7B7B7"/>
      </left>
      <right/>
      <top style="thin">
        <color rgb="FFD0D7DE"/>
      </top>
      <bottom/>
      <diagonal/>
    </border>
    <border diagonalUp="false" diagonalDown="false">
      <left/>
      <right style="thin">
        <color rgb="FFB7B7B7"/>
      </right>
      <top style="thin">
        <color rgb="FFD0D7DE"/>
      </top>
      <bottom/>
      <diagonal/>
    </border>
    <border diagonalUp="false" diagonalDown="false">
      <left/>
      <right/>
      <top style="thin">
        <color rgb="FFD0D7DE"/>
      </top>
      <bottom/>
      <diagonal/>
    </border>
    <border diagonalUp="false" diagonalDown="false">
      <left/>
      <right style="thin">
        <color rgb="FFD0D7DE"/>
      </right>
      <top style="thin">
        <color rgb="FFD0D7DE"/>
      </top>
      <bottom/>
      <diagonal/>
    </border>
    <border diagonalUp="false" diagonalDown="false">
      <left/>
      <right style="thin">
        <color rgb="FFD0D7DE"/>
      </right>
      <top/>
      <bottom/>
      <diagonal/>
    </border>
    <border diagonalUp="false" diagonalDown="false">
      <left style="thin">
        <color rgb="FFB7B7B7"/>
      </left>
      <right/>
      <top/>
      <bottom style="thin">
        <color rgb="FFB7B7B7"/>
      </bottom>
      <diagonal/>
    </border>
    <border diagonalUp="false" diagonalDown="false">
      <left/>
      <right style="thin">
        <color rgb="FFB7B7B7"/>
      </right>
      <top/>
      <bottom style="thin">
        <color rgb="FFB7B7B7"/>
      </bottom>
      <diagonal/>
    </border>
    <border diagonalUp="false" diagonalDown="false">
      <left style="thin">
        <color rgb="FFD0D7DE"/>
      </left>
      <right/>
      <top/>
      <bottom/>
      <diagonal/>
    </border>
    <border diagonalUp="false" diagonalDown="false">
      <left style="thin">
        <color rgb="FFD0D7DE"/>
      </left>
      <right/>
      <top/>
      <bottom style="thin">
        <color rgb="FFD0D7DE"/>
      </bottom>
      <diagonal/>
    </border>
    <border diagonalUp="false" diagonalDown="false">
      <left/>
      <right/>
      <top/>
      <bottom style="thin">
        <color rgb="FFD0D7DE"/>
      </bottom>
      <diagonal/>
    </border>
    <border diagonalUp="false" diagonalDown="false">
      <left/>
      <right style="thin">
        <color rgb="FFD0D7DE"/>
      </right>
      <top/>
      <bottom style="thin">
        <color rgb="FFD0D7DE"/>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left" vertical="top" textRotation="0" wrapText="true" indent="0" shrinkToFit="false"/>
    </xf>
    <xf numFmtId="166"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left" vertical="top" textRotation="0" wrapText="true" indent="0" shrinkToFit="false"/>
    </xf>
    <xf numFmtId="167" fontId="4" fillId="0" borderId="0" applyFont="true" applyBorder="false" applyAlignment="true" applyProtection="false">
      <alignment horizontal="general" vertical="bottom" textRotation="0" wrapText="false" indent="0" shrinkToFit="false"/>
    </xf>
    <xf numFmtId="167" fontId="4" fillId="0" borderId="0" applyFont="true" applyBorder="false" applyAlignment="true" applyProtection="false">
      <alignment horizontal="left" vertical="top" textRotation="0" wrapText="true" indent="0" shrinkToFit="false"/>
    </xf>
    <xf numFmtId="168" fontId="4" fillId="0" borderId="0" applyFont="true" applyBorder="false" applyAlignment="true" applyProtection="false">
      <alignment horizontal="general" vertical="bottom" textRotation="0" wrapText="false" indent="0" shrinkToFit="false"/>
    </xf>
    <xf numFmtId="168" fontId="4" fillId="0" borderId="0" applyFont="true" applyBorder="false" applyAlignment="true" applyProtection="false">
      <alignment horizontal="left" vertical="top" textRotation="0" wrapText="true" indent="0" shrinkToFit="false"/>
    </xf>
    <xf numFmtId="164" fontId="4" fillId="0" borderId="0" applyFont="true" applyBorder="true" applyAlignment="true" applyProtection="true">
      <alignment horizontal="left" vertical="top" textRotation="0" wrapText="tru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true" applyProtection="false">
      <alignment horizontal="general" vertical="bottom" textRotation="0" wrapText="false" indent="0" shrinkToFit="false"/>
    </xf>
    <xf numFmtId="169" fontId="4" fillId="0" borderId="0" applyFont="true" applyBorder="false" applyAlignment="true" applyProtection="false">
      <alignment horizontal="left" vertical="top" textRotation="0" wrapText="true" indent="0" shrinkToFit="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9" applyFont="true" applyBorder="false" applyAlignment="true" applyProtection="true">
      <alignment horizontal="left" vertical="top" textRotation="0" wrapText="false" indent="0" shrinkToFit="false"/>
      <protection locked="true" hidden="false"/>
    </xf>
    <xf numFmtId="164" fontId="7" fillId="2" borderId="1" xfId="28" applyFont="true" applyBorder="true" applyAlignment="true" applyProtection="true">
      <alignment horizontal="center" vertical="center" textRotation="0" wrapText="true" indent="0" shrinkToFit="false"/>
      <protection locked="true" hidden="false"/>
    </xf>
    <xf numFmtId="164" fontId="7" fillId="2" borderId="2" xfId="28" applyFont="true" applyBorder="true" applyAlignment="true" applyProtection="true">
      <alignment horizontal="center" vertical="center" textRotation="0" wrapText="true" indent="0" shrinkToFit="false"/>
      <protection locked="true" hidden="false"/>
    </xf>
    <xf numFmtId="164" fontId="7" fillId="2" borderId="3" xfId="28" applyFont="true" applyBorder="true" applyAlignment="true" applyProtection="true">
      <alignment horizontal="center" vertical="center" textRotation="0" wrapText="true" indent="0" shrinkToFit="false"/>
      <protection locked="true" hidden="false"/>
    </xf>
    <xf numFmtId="164" fontId="8" fillId="0" borderId="4" xfId="28" applyFont="true" applyBorder="true" applyAlignment="true" applyProtection="true">
      <alignment horizontal="center" vertical="top" textRotation="0" wrapText="true" indent="0" shrinkToFit="false"/>
      <protection locked="true" hidden="false"/>
    </xf>
    <xf numFmtId="164" fontId="8" fillId="0" borderId="0" xfId="28" applyFont="true" applyBorder="true" applyAlignment="true" applyProtection="true">
      <alignment horizontal="left" vertical="top" textRotation="0" wrapText="true" indent="0" shrinkToFit="false"/>
      <protection locked="true" hidden="false"/>
    </xf>
    <xf numFmtId="164" fontId="8" fillId="0" borderId="0" xfId="28" applyFont="true" applyBorder="true" applyAlignment="true" applyProtection="true">
      <alignment horizontal="center" vertical="top" textRotation="0" wrapText="true" indent="0" shrinkToFit="false"/>
      <protection locked="true" hidden="false"/>
    </xf>
    <xf numFmtId="164" fontId="8" fillId="0" borderId="5" xfId="28" applyFont="true" applyBorder="true" applyAlignment="true" applyProtection="true">
      <alignment horizontal="left" vertical="top" textRotation="0" wrapText="true" indent="0" shrinkToFit="false"/>
      <protection locked="true" hidden="false"/>
    </xf>
    <xf numFmtId="164" fontId="8" fillId="3" borderId="4" xfId="28" applyFont="true" applyBorder="true" applyAlignment="true" applyProtection="true">
      <alignment horizontal="center" vertical="top" textRotation="0" wrapText="true" indent="0" shrinkToFit="false"/>
      <protection locked="true" hidden="false"/>
    </xf>
    <xf numFmtId="164" fontId="8" fillId="3" borderId="0" xfId="28" applyFont="true" applyBorder="true" applyAlignment="true" applyProtection="true">
      <alignment horizontal="left" vertical="top" textRotation="0" wrapText="true" indent="0" shrinkToFit="false"/>
      <protection locked="true" hidden="false"/>
    </xf>
    <xf numFmtId="164" fontId="8" fillId="3" borderId="0" xfId="28" applyFont="true" applyBorder="true" applyAlignment="true" applyProtection="true">
      <alignment horizontal="center" vertical="top" textRotation="0" wrapText="true" indent="0" shrinkToFit="false"/>
      <protection locked="true" hidden="false"/>
    </xf>
    <xf numFmtId="164" fontId="8" fillId="3" borderId="5" xfId="28" applyFont="true" applyBorder="true" applyAlignment="true" applyProtection="true">
      <alignment horizontal="left" vertical="top" textRotation="0" wrapText="true" indent="0" shrinkToFit="false"/>
      <protection locked="true" hidden="false"/>
    </xf>
    <xf numFmtId="164" fontId="4" fillId="3" borderId="4" xfId="28" applyFont="true" applyBorder="true" applyAlignment="true" applyProtection="true">
      <alignment horizontal="center" vertical="top" textRotation="0" wrapText="true" indent="0" shrinkToFit="false"/>
      <protection locked="true" hidden="false"/>
    </xf>
    <xf numFmtId="164" fontId="4" fillId="3" borderId="0" xfId="28" applyFont="true" applyBorder="true" applyAlignment="true" applyProtection="true">
      <alignment horizontal="left" vertical="top" textRotation="0" wrapText="true" indent="0" shrinkToFit="false"/>
      <protection locked="true" hidden="false"/>
    </xf>
    <xf numFmtId="164" fontId="4" fillId="3" borderId="0" xfId="28" applyFont="true" applyBorder="true" applyAlignment="true" applyProtection="true">
      <alignment horizontal="center" vertical="top" textRotation="0" wrapText="true" indent="0" shrinkToFit="false"/>
      <protection locked="true" hidden="false"/>
    </xf>
    <xf numFmtId="164" fontId="4" fillId="3" borderId="5" xfId="28" applyFont="true" applyBorder="true" applyAlignment="true" applyProtection="true">
      <alignment horizontal="left" vertical="top" textRotation="0" wrapText="true" indent="0" shrinkToFit="false"/>
      <protection locked="true" hidden="false"/>
    </xf>
    <xf numFmtId="164" fontId="4" fillId="0" borderId="4" xfId="28" applyFont="true" applyBorder="true" applyAlignment="true" applyProtection="true">
      <alignment horizontal="center" vertical="top" textRotation="0" wrapText="true" indent="0" shrinkToFit="false"/>
      <protection locked="true" hidden="false"/>
    </xf>
    <xf numFmtId="164" fontId="4" fillId="0" borderId="0" xfId="28" applyFont="true" applyBorder="true" applyAlignment="true" applyProtection="true">
      <alignment horizontal="left" vertical="top" textRotation="0" wrapText="true" indent="0" shrinkToFit="false"/>
      <protection locked="true" hidden="false"/>
    </xf>
    <xf numFmtId="164" fontId="4" fillId="0" borderId="0" xfId="28" applyFont="true" applyBorder="true" applyAlignment="true" applyProtection="true">
      <alignment horizontal="center" vertical="top" textRotation="0" wrapText="true" indent="0" shrinkToFit="false"/>
      <protection locked="true" hidden="false"/>
    </xf>
    <xf numFmtId="164" fontId="4" fillId="0" borderId="5" xfId="28" applyFont="true" applyBorder="true" applyAlignment="true" applyProtection="true">
      <alignment horizontal="left" vertical="top" textRotation="0" wrapText="true" indent="0" shrinkToFit="false"/>
      <protection locked="true" hidden="false"/>
    </xf>
    <xf numFmtId="164" fontId="4" fillId="3" borderId="6" xfId="28" applyFont="true" applyBorder="true" applyAlignment="true" applyProtection="true">
      <alignment horizontal="center" vertical="top" textRotation="0" wrapText="true" indent="0" shrinkToFit="false"/>
      <protection locked="true" hidden="false"/>
    </xf>
    <xf numFmtId="164" fontId="4" fillId="3" borderId="7" xfId="28" applyFont="true" applyBorder="true" applyAlignment="true" applyProtection="true">
      <alignment horizontal="left" vertical="top" textRotation="0" wrapText="true" indent="0" shrinkToFit="false"/>
      <protection locked="true" hidden="false"/>
    </xf>
    <xf numFmtId="164" fontId="4" fillId="3" borderId="7" xfId="28" applyFont="true" applyBorder="true" applyAlignment="true" applyProtection="true">
      <alignment horizontal="center" vertical="top" textRotation="0" wrapText="true" indent="0" shrinkToFit="false"/>
      <protection locked="true" hidden="false"/>
    </xf>
    <xf numFmtId="164" fontId="4" fillId="3" borderId="8" xfId="28"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2" borderId="0" xfId="28" applyFont="true" applyBorder="true" applyAlignment="true" applyProtection="true">
      <alignment horizontal="center" vertical="center" textRotation="0" wrapText="true" indent="0" shrinkToFit="false"/>
      <protection locked="true" hidden="false"/>
    </xf>
    <xf numFmtId="164" fontId="9" fillId="4" borderId="1" xfId="28" applyFont="true" applyBorder="true" applyAlignment="true" applyProtection="true">
      <alignment horizontal="center" vertical="center" textRotation="0" wrapText="true" indent="0" shrinkToFit="false"/>
      <protection locked="true" hidden="false"/>
    </xf>
    <xf numFmtId="164" fontId="9" fillId="4" borderId="2" xfId="28" applyFont="true" applyBorder="true" applyAlignment="true" applyProtection="true">
      <alignment horizontal="center" vertical="center" textRotation="0" wrapText="true" indent="0" shrinkToFit="false"/>
      <protection locked="true" hidden="false"/>
    </xf>
    <xf numFmtId="164" fontId="4" fillId="0" borderId="2" xfId="28" applyFont="true" applyBorder="true" applyAlignment="true" applyProtection="true">
      <alignment horizontal="left" vertical="top" textRotation="0" wrapText="true" indent="0" shrinkToFit="false"/>
      <protection locked="true" hidden="false"/>
    </xf>
    <xf numFmtId="164" fontId="9" fillId="4" borderId="3" xfId="28" applyFont="true" applyBorder="true" applyAlignment="true" applyProtection="true">
      <alignment horizontal="center" vertical="center" textRotation="0" wrapText="true" indent="0" shrinkToFit="false"/>
      <protection locked="true" hidden="false"/>
    </xf>
    <xf numFmtId="164" fontId="4" fillId="0" borderId="4" xfId="28" applyFont="true" applyBorder="true" applyAlignment="true" applyProtection="true">
      <alignment horizontal="left" vertical="top" textRotation="0" wrapText="true" indent="0" shrinkToFit="false"/>
      <protection locked="true" hidden="false"/>
    </xf>
    <xf numFmtId="164" fontId="9" fillId="4" borderId="9" xfId="28" applyFont="true" applyBorder="true" applyAlignment="true" applyProtection="true">
      <alignment horizontal="center" vertical="center" textRotation="0" wrapText="true" indent="0" shrinkToFit="false"/>
      <protection locked="true" hidden="false"/>
    </xf>
    <xf numFmtId="164" fontId="9" fillId="4" borderId="4" xfId="28" applyFont="true" applyBorder="true" applyAlignment="true" applyProtection="true">
      <alignment horizontal="center" vertical="center" textRotation="0" wrapText="true" indent="0" shrinkToFit="false"/>
      <protection locked="true" hidden="false"/>
    </xf>
    <xf numFmtId="164" fontId="9" fillId="4" borderId="0" xfId="28" applyFont="true" applyBorder="true" applyAlignment="true" applyProtection="true">
      <alignment horizontal="center" vertical="center" textRotation="0" wrapText="true" indent="0" shrinkToFit="false"/>
      <protection locked="true" hidden="false"/>
    </xf>
    <xf numFmtId="170" fontId="4" fillId="0" borderId="0" xfId="28" applyFont="true" applyBorder="true" applyAlignment="true" applyProtection="true">
      <alignment horizontal="left" vertical="top" textRotation="0" wrapText="true" indent="0" shrinkToFit="false"/>
      <protection locked="true" hidden="false"/>
    </xf>
    <xf numFmtId="164" fontId="4" fillId="0" borderId="6" xfId="28" applyFont="true" applyBorder="true" applyAlignment="true" applyProtection="true">
      <alignment horizontal="left" vertical="top" textRotation="0" wrapText="true" indent="0" shrinkToFit="false"/>
      <protection locked="true" hidden="false"/>
    </xf>
    <xf numFmtId="164" fontId="4" fillId="0" borderId="7" xfId="28" applyFont="true" applyBorder="true" applyAlignment="true" applyProtection="true">
      <alignment horizontal="left" vertical="top" textRotation="0" wrapText="true" indent="0" shrinkToFit="false"/>
      <protection locked="true" hidden="false"/>
    </xf>
    <xf numFmtId="164" fontId="4" fillId="0" borderId="8" xfId="28" applyFont="true" applyBorder="true" applyAlignment="true" applyProtection="true">
      <alignment horizontal="left" vertical="top" textRotation="0" wrapText="true" indent="0" shrinkToFit="false"/>
      <protection locked="true" hidden="false"/>
    </xf>
    <xf numFmtId="164" fontId="12" fillId="2" borderId="10" xfId="28" applyFont="true" applyBorder="true" applyAlignment="true" applyProtection="true">
      <alignment horizontal="left" vertical="top" textRotation="0" wrapText="true" indent="0" shrinkToFit="false"/>
      <protection locked="true" hidden="false"/>
    </xf>
    <xf numFmtId="164" fontId="13" fillId="0" borderId="11" xfId="28" applyFont="true" applyBorder="true" applyAlignment="true" applyProtection="true">
      <alignment horizontal="left" vertical="top" textRotation="0" wrapText="true" indent="0" shrinkToFit="false"/>
      <protection locked="true" hidden="false"/>
    </xf>
    <xf numFmtId="164" fontId="13" fillId="0" borderId="12" xfId="28" applyFont="true" applyBorder="true" applyAlignment="true" applyProtection="true">
      <alignment horizontal="left" vertical="top" textRotation="0" wrapText="true" indent="0" shrinkToFit="false"/>
      <protection locked="true" hidden="false"/>
    </xf>
    <xf numFmtId="164" fontId="14" fillId="4" borderId="13" xfId="28" applyFont="true" applyBorder="true" applyAlignment="true" applyProtection="true">
      <alignment horizontal="left" vertical="top" textRotation="0" wrapText="true" indent="0" shrinkToFit="false"/>
      <protection locked="true" hidden="false"/>
    </xf>
    <xf numFmtId="164" fontId="14" fillId="4" borderId="14" xfId="28" applyFont="true" applyBorder="true" applyAlignment="true" applyProtection="true">
      <alignment horizontal="left" vertical="top" textRotation="0" wrapText="true" indent="0" shrinkToFit="false"/>
      <protection locked="true" hidden="false"/>
    </xf>
    <xf numFmtId="164" fontId="9" fillId="4" borderId="15" xfId="28" applyFont="true" applyBorder="true" applyAlignment="true" applyProtection="true">
      <alignment horizontal="left" vertical="top" textRotation="0" wrapText="true" indent="0" shrinkToFit="false"/>
      <protection locked="true" hidden="false"/>
    </xf>
    <xf numFmtId="164" fontId="9" fillId="4" borderId="16" xfId="28" applyFont="true" applyBorder="true" applyAlignment="true" applyProtection="true">
      <alignment horizontal="left" vertical="top" textRotation="0" wrapText="true" indent="0" shrinkToFit="false"/>
      <protection locked="true" hidden="false"/>
    </xf>
    <xf numFmtId="164" fontId="4" fillId="0" borderId="17" xfId="28" applyFont="true" applyBorder="true" applyAlignment="true" applyProtection="true">
      <alignment horizontal="left" vertical="top" textRotation="0" wrapText="true" indent="0" shrinkToFit="false"/>
      <protection locked="true" hidden="false"/>
    </xf>
    <xf numFmtId="164" fontId="14" fillId="4" borderId="11" xfId="28" applyFont="true" applyBorder="true" applyAlignment="true" applyProtection="true">
      <alignment horizontal="left" vertical="top" textRotation="0" wrapText="true" indent="0" shrinkToFit="false"/>
      <protection locked="true" hidden="false"/>
    </xf>
    <xf numFmtId="164" fontId="14" fillId="4" borderId="12" xfId="28" applyFont="true" applyBorder="true" applyAlignment="true" applyProtection="true">
      <alignment horizontal="left" vertical="top" textRotation="0" wrapText="true" indent="0" shrinkToFit="false"/>
      <protection locked="true" hidden="false"/>
    </xf>
    <xf numFmtId="164" fontId="9" fillId="4" borderId="0" xfId="28" applyFont="true" applyBorder="true" applyAlignment="true" applyProtection="true">
      <alignment horizontal="left" vertical="top" textRotation="0" wrapText="true" indent="0" shrinkToFit="false"/>
      <protection locked="true" hidden="false"/>
    </xf>
    <xf numFmtId="164" fontId="9" fillId="4" borderId="17" xfId="28" applyFont="true" applyBorder="true" applyAlignment="true" applyProtection="true">
      <alignment horizontal="left" vertical="top" textRotation="0" wrapText="true" indent="0" shrinkToFit="false"/>
      <protection locked="true" hidden="false"/>
    </xf>
    <xf numFmtId="164" fontId="14" fillId="5" borderId="12" xfId="28" applyFont="true" applyBorder="true" applyAlignment="true" applyProtection="true">
      <alignment horizontal="left" vertical="top" textRotation="0" wrapText="true" indent="0" shrinkToFit="false"/>
      <protection locked="true" hidden="false"/>
    </xf>
    <xf numFmtId="164" fontId="15" fillId="6" borderId="12" xfId="28" applyFont="true" applyBorder="true" applyAlignment="true" applyProtection="true">
      <alignment horizontal="left" vertical="top" textRotation="0" wrapText="true" indent="0" shrinkToFit="false"/>
      <protection locked="true" hidden="false"/>
    </xf>
    <xf numFmtId="164" fontId="14" fillId="7" borderId="11" xfId="28" applyFont="true" applyBorder="true" applyAlignment="true" applyProtection="true">
      <alignment horizontal="left" vertical="top" textRotation="0" wrapText="true" indent="0" shrinkToFit="false"/>
      <protection locked="true" hidden="false"/>
    </xf>
    <xf numFmtId="164" fontId="14" fillId="7" borderId="12" xfId="28" applyFont="true" applyBorder="true" applyAlignment="true" applyProtection="true">
      <alignment horizontal="left" vertical="top" textRotation="0" wrapText="true" indent="0" shrinkToFit="false"/>
      <protection locked="true" hidden="false"/>
    </xf>
    <xf numFmtId="164" fontId="7" fillId="7" borderId="0" xfId="28" applyFont="true" applyBorder="true" applyAlignment="true" applyProtection="true">
      <alignment horizontal="center" vertical="top" textRotation="0" wrapText="true" indent="0" shrinkToFit="false"/>
      <protection locked="true" hidden="false"/>
    </xf>
    <xf numFmtId="164" fontId="13" fillId="0" borderId="18" xfId="28" applyFont="true" applyBorder="true" applyAlignment="true" applyProtection="true">
      <alignment horizontal="left" vertical="top" textRotation="0" wrapText="true" indent="0" shrinkToFit="false"/>
      <protection locked="true" hidden="false"/>
    </xf>
    <xf numFmtId="164" fontId="14" fillId="5" borderId="19" xfId="28" applyFont="true" applyBorder="true" applyAlignment="true" applyProtection="true">
      <alignment horizontal="left" vertical="top" textRotation="0" wrapText="true" indent="0" shrinkToFit="false"/>
      <protection locked="true" hidden="false"/>
    </xf>
    <xf numFmtId="164" fontId="4" fillId="0" borderId="20" xfId="28" applyFont="true" applyBorder="true" applyAlignment="true" applyProtection="true">
      <alignment horizontal="left" vertical="top" textRotation="0" wrapText="true" indent="0" shrinkToFit="false"/>
      <protection locked="true" hidden="false"/>
    </xf>
    <xf numFmtId="164" fontId="4" fillId="0" borderId="21" xfId="28" applyFont="true" applyBorder="true" applyAlignment="true" applyProtection="true">
      <alignment horizontal="left" vertical="top" textRotation="0" wrapText="true" indent="0" shrinkToFit="false"/>
      <protection locked="true" hidden="false"/>
    </xf>
    <xf numFmtId="164" fontId="4" fillId="0" borderId="22" xfId="28" applyFont="true" applyBorder="true" applyAlignment="true" applyProtection="true">
      <alignment horizontal="left" vertical="top" textRotation="0" wrapText="true" indent="0" shrinkToFit="false"/>
      <protection locked="true" hidden="false"/>
    </xf>
    <xf numFmtId="164" fontId="4" fillId="0" borderId="23" xfId="28" applyFont="true" applyBorder="true" applyAlignment="true" applyProtection="true">
      <alignment horizontal="left" vertical="top"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0]" xfId="22"/>
    <cellStyle name="Comma [0] 2" xfId="23"/>
    <cellStyle name="Currency" xfId="24"/>
    <cellStyle name="Currency 3" xfId="25"/>
    <cellStyle name="Currency [0]" xfId="26"/>
    <cellStyle name="Currency [0] 4" xfId="27"/>
    <cellStyle name="Normal" xfId="28"/>
    <cellStyle name="Normal 5" xfId="29"/>
    <cellStyle name="Percent" xfId="30"/>
    <cellStyle name="Percent 6" xfId="31"/>
  </cellStyles>
  <dxfs count="10">
    <dxf>
      <fill>
        <patternFill patternType="solid">
          <fgColor rgb="FF1F4E78"/>
          <bgColor rgb="FF000000"/>
        </patternFill>
      </fill>
    </dxf>
    <dxf>
      <fill>
        <patternFill patternType="solid">
          <fgColor rgb="FFF4F8F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274E13"/>
          <bgColor rgb="FF000000"/>
        </patternFill>
      </fill>
    </dxf>
    <dxf>
      <font>
        <b val="1"/>
        <color rgb="FF274E13"/>
      </font>
      <fill>
        <patternFill>
          <bgColor rgb="FFD9EAD3"/>
        </patternFill>
      </fill>
    </dxf>
    <dxf>
      <font>
        <b val="1"/>
        <color rgb="FF990000"/>
      </font>
      <fill>
        <patternFill>
          <bgColor rgb="FFF4CCCC"/>
        </patternFill>
      </fill>
    </dxf>
    <dxf>
      <font>
        <b val="1"/>
        <color rgb="FF7F6000"/>
      </font>
      <fill>
        <patternFill>
          <bgColor rgb="FFFFF2CC"/>
        </patternFill>
      </fill>
    </dxf>
  </dxfs>
  <colors>
    <indexedColors>
      <rgbColor rgb="FF000000"/>
      <rgbColor rgb="FFFFFFFF"/>
      <rgbColor rgb="FFFF0000"/>
      <rgbColor rgb="FF00FF00"/>
      <rgbColor rgb="FF0000FF"/>
      <rgbColor rgb="FFFFFF00"/>
      <rgbColor rgb="FFFF00FF"/>
      <rgbColor rgb="FF00FFFF"/>
      <rgbColor rgb="FF990000"/>
      <rgbColor rgb="FF006100"/>
      <rgbColor rgb="FF000080"/>
      <rgbColor rgb="FF7F6000"/>
      <rgbColor rgb="FF800080"/>
      <rgbColor rgb="FF008080"/>
      <rgbColor rgb="FFB7B7B7"/>
      <rgbColor rgb="FF808080"/>
      <rgbColor rgb="FF5B9BD5"/>
      <rgbColor rgb="FF993366"/>
      <rgbColor rgb="FFFFF2CC"/>
      <rgbColor rgb="FFD9EAF7"/>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F4F8FB"/>
      <rgbColor rgb="FFE2F0D9"/>
      <rgbColor rgb="FFD9EAD3"/>
      <rgbColor rgb="FFB7C9D6"/>
      <rgbColor rgb="FFD9D9D9"/>
      <rgbColor rgb="FFCCCCCC"/>
      <rgbColor rgb="FFF4CCCC"/>
      <rgbColor rgb="FF3366FF"/>
      <rgbColor rgb="FF33CCCC"/>
      <rgbColor rgb="FF99CC00"/>
      <rgbColor rgb="FFFFCC00"/>
      <rgbColor rgb="FFFF9900"/>
      <rgbColor rgb="FFFF6600"/>
      <rgbColor rgb="FF666699"/>
      <rgbColor rgb="FFB3B3B3"/>
      <rgbColor rgb="FF003366"/>
      <rgbColor rgb="FF339966"/>
      <rgbColor rgb="FF003300"/>
      <rgbColor rgb="FF274E13"/>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Test Cases by Type</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5B9BD5"/>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'Test Summary'!$D$4:$D$6</c:f>
              <c:strCache>
                <c:ptCount val="3"/>
                <c:pt idx="0">
                  <c:v>Positive</c:v>
                </c:pt>
                <c:pt idx="1">
                  <c:v>Negative</c:v>
                </c:pt>
                <c:pt idx="2">
                  <c:v>Boundary</c:v>
                </c:pt>
              </c:strCache>
            </c:strRef>
          </c:cat>
          <c:val>
            <c:numRef>
              <c:f>'Test Summary'!$E$4:$E$6</c:f>
              <c:numCache>
                <c:formatCode>General</c:formatCode>
                <c:ptCount val="3"/>
                <c:pt idx="0">
                  <c:v>13</c:v>
                </c:pt>
                <c:pt idx="1">
                  <c:v>9</c:v>
                </c:pt>
                <c:pt idx="2">
                  <c:v>2</c:v>
                </c:pt>
              </c:numCache>
            </c:numRef>
          </c:val>
        </c:ser>
        <c:gapWidth val="150"/>
        <c:overlap val="0"/>
        <c:axId val="19515083"/>
        <c:axId val="32411535"/>
      </c:barChart>
      <c:catAx>
        <c:axId val="1951508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p>
        </c:txPr>
        <c:crossAx val="32411535"/>
        <c:crosses val="autoZero"/>
        <c:auto val="1"/>
        <c:lblAlgn val="ctr"/>
        <c:lblOffset val="100"/>
        <c:noMultiLvlLbl val="0"/>
      </c:catAx>
      <c:valAx>
        <c:axId val="3241153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p>
        </c:txPr>
        <c:crossAx val="19515083"/>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0</xdr:rowOff>
    </xdr:from>
    <xdr:to>
      <xdr:col>19</xdr:col>
      <xdr:colOff>576000</xdr:colOff>
      <xdr:row>16</xdr:row>
      <xdr:rowOff>189720</xdr:rowOff>
    </xdr:to>
    <xdr:graphicFrame>
      <xdr:nvGraphicFramePr>
        <xdr:cNvPr id="1" name="Chart"/>
        <xdr:cNvGraphicFramePr/>
      </xdr:nvGraphicFramePr>
      <xdr:xfrm>
        <a:off x="10726560" y="571680"/>
        <a:ext cx="4611960" cy="3240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estCasesTable" displayName="TestCasesTable" ref="A1:P25" headerRowCount="1" totalsRowCount="0" totalsRowShown="0">
  <tableColumns count="16">
    <tableColumn id="1" name="TC ID"/>
    <tableColumn id="2" name="Module"/>
    <tableColumn id="3" name="Test Case Title"/>
    <tableColumn id="4" name="Test Type"/>
    <tableColumn id="5" name="Priority"/>
    <tableColumn id="6" name="Preconditions"/>
    <tableColumn id="7" name="Method"/>
    <tableColumn id="8" name="Endpoint"/>
    <tableColumn id="9" name="Test Data"/>
    <tableColumn id="10" name="Test Steps"/>
    <tableColumn id="11" name="Expected Status Code"/>
    <tableColumn id="12" name="Expected Result"/>
    <tableColumn id="13" name="Postman Request Name"/>
    <tableColumn id="14" name="Actual Result"/>
    <tableColumn id="15" name="Execution Status"/>
    <tableColumn id="16" name="Notes"/>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5"/>
  <sheetViews>
    <sheetView showFormulas="false" showGridLines="true" showRowColHeaders="true" showZeros="true" rightToLeft="false" tabSelected="false" showOutlineSymbols="true" defaultGridColor="true" view="normal" topLeftCell="M1" colorId="64" zoomScale="100" zoomScaleNormal="100" zoomScalePageLayoutView="100" workbookViewId="0">
      <selection pane="topLeft" activeCell="N2" activeCellId="0" sqref="N2"/>
    </sheetView>
  </sheetViews>
  <sheetFormatPr defaultColWidth="7.21875" defaultRowHeight="15" customHeight="false"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36"/>
    <col collapsed="false" customWidth="true" hidden="false" outlineLevel="0" max="4" min="4" style="1" width="12"/>
    <col collapsed="false" customWidth="true" hidden="false" outlineLevel="0" max="5" min="5" style="1" width="10"/>
    <col collapsed="false" customWidth="true" hidden="false" outlineLevel="0" max="6" min="6" style="1" width="32"/>
    <col collapsed="false" customWidth="true" hidden="false" outlineLevel="0" max="7" min="7" style="1" width="10"/>
    <col collapsed="false" customWidth="true" hidden="false" outlineLevel="0" max="9" min="8" style="1" width="38"/>
    <col collapsed="false" customWidth="true" hidden="false" outlineLevel="0" max="10" min="10" style="1" width="56"/>
    <col collapsed="false" customWidth="true" hidden="false" outlineLevel="0" max="11" min="11" style="1" width="17"/>
    <col collapsed="false" customWidth="true" hidden="false" outlineLevel="0" max="12" min="12" style="1" width="54.34"/>
    <col collapsed="false" customWidth="true" hidden="false" outlineLevel="0" max="13" min="13" style="1" width="42"/>
    <col collapsed="false" customWidth="true" hidden="false" outlineLevel="0" max="14" min="14" style="1" width="50"/>
    <col collapsed="false" customWidth="true" hidden="false" outlineLevel="0" max="15" min="15" style="1" width="14"/>
    <col collapsed="false" customWidth="true" hidden="false" outlineLevel="0" max="16" min="16" style="1" width="46"/>
    <col collapsed="false" customWidth="false" hidden="false" outlineLevel="0" max="16383" min="17" style="1" width="7.22"/>
    <col collapsed="false" customWidth="true" hidden="false" outlineLevel="0" max="16384" min="16384" style="1" width="10.94"/>
  </cols>
  <sheetData>
    <row r="1" customFormat="false" ht="32" hidden="false" customHeight="tru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4" t="s">
        <v>15</v>
      </c>
    </row>
    <row r="2" customFormat="false" ht="148.6" hidden="false" customHeight="false" outlineLevel="0" collapsed="false">
      <c r="A2" s="5" t="s">
        <v>16</v>
      </c>
      <c r="B2" s="6" t="s">
        <v>17</v>
      </c>
      <c r="C2" s="6" t="s">
        <v>18</v>
      </c>
      <c r="D2" s="7" t="s">
        <v>19</v>
      </c>
      <c r="E2" s="7" t="s">
        <v>20</v>
      </c>
      <c r="F2" s="6" t="s">
        <v>21</v>
      </c>
      <c r="G2" s="7" t="s">
        <v>22</v>
      </c>
      <c r="H2" s="6" t="s">
        <v>23</v>
      </c>
      <c r="I2" s="6" t="s">
        <v>24</v>
      </c>
      <c r="J2" s="6" t="s">
        <v>25</v>
      </c>
      <c r="K2" s="7" t="n">
        <v>200</v>
      </c>
      <c r="L2" s="6" t="s">
        <v>26</v>
      </c>
      <c r="M2" s="6" t="s">
        <v>27</v>
      </c>
      <c r="N2" s="6" t="s">
        <v>28</v>
      </c>
      <c r="O2" s="7" t="s">
        <v>29</v>
      </c>
      <c r="P2" s="8" t="s">
        <v>30</v>
      </c>
    </row>
    <row r="3" customFormat="false" ht="168" hidden="false" customHeight="true" outlineLevel="0" collapsed="false">
      <c r="A3" s="9" t="s">
        <v>31</v>
      </c>
      <c r="B3" s="10" t="s">
        <v>17</v>
      </c>
      <c r="C3" s="10" t="s">
        <v>32</v>
      </c>
      <c r="D3" s="11" t="s">
        <v>19</v>
      </c>
      <c r="E3" s="11" t="s">
        <v>20</v>
      </c>
      <c r="F3" s="10" t="s">
        <v>33</v>
      </c>
      <c r="G3" s="11" t="s">
        <v>34</v>
      </c>
      <c r="H3" s="10" t="s">
        <v>23</v>
      </c>
      <c r="I3" s="10" t="s">
        <v>35</v>
      </c>
      <c r="J3" s="10" t="s">
        <v>36</v>
      </c>
      <c r="K3" s="11" t="n">
        <v>201</v>
      </c>
      <c r="L3" s="10" t="s">
        <v>37</v>
      </c>
      <c r="M3" s="10" t="s">
        <v>38</v>
      </c>
      <c r="N3" s="10" t="s">
        <v>39</v>
      </c>
      <c r="O3" s="11" t="s">
        <v>29</v>
      </c>
      <c r="P3" s="12" t="s">
        <v>40</v>
      </c>
    </row>
    <row r="4" customFormat="false" ht="132" hidden="false" customHeight="true" outlineLevel="0" collapsed="false">
      <c r="A4" s="5" t="s">
        <v>41</v>
      </c>
      <c r="B4" s="6" t="s">
        <v>17</v>
      </c>
      <c r="C4" s="6" t="s">
        <v>42</v>
      </c>
      <c r="D4" s="7" t="s">
        <v>19</v>
      </c>
      <c r="E4" s="7" t="s">
        <v>20</v>
      </c>
      <c r="F4" s="6" t="s">
        <v>43</v>
      </c>
      <c r="G4" s="7" t="s">
        <v>22</v>
      </c>
      <c r="H4" s="6" t="s">
        <v>44</v>
      </c>
      <c r="I4" s="6" t="s">
        <v>45</v>
      </c>
      <c r="J4" s="6" t="s">
        <v>46</v>
      </c>
      <c r="K4" s="7" t="n">
        <v>200</v>
      </c>
      <c r="L4" s="6" t="s">
        <v>47</v>
      </c>
      <c r="M4" s="6" t="s">
        <v>48</v>
      </c>
      <c r="N4" s="6" t="s">
        <v>49</v>
      </c>
      <c r="O4" s="7" t="s">
        <v>29</v>
      </c>
      <c r="P4" s="8" t="s">
        <v>50</v>
      </c>
    </row>
    <row r="5" customFormat="false" ht="120" hidden="false" customHeight="true" outlineLevel="0" collapsed="false">
      <c r="A5" s="13" t="s">
        <v>51</v>
      </c>
      <c r="B5" s="14" t="s">
        <v>17</v>
      </c>
      <c r="C5" s="14" t="s">
        <v>52</v>
      </c>
      <c r="D5" s="15" t="s">
        <v>19</v>
      </c>
      <c r="E5" s="15" t="s">
        <v>20</v>
      </c>
      <c r="F5" s="14" t="s">
        <v>53</v>
      </c>
      <c r="G5" s="15" t="s">
        <v>54</v>
      </c>
      <c r="H5" s="14" t="s">
        <v>44</v>
      </c>
      <c r="I5" s="14" t="s">
        <v>55</v>
      </c>
      <c r="J5" s="14" t="s">
        <v>56</v>
      </c>
      <c r="K5" s="15" t="n">
        <v>200</v>
      </c>
      <c r="L5" s="14" t="s">
        <v>57</v>
      </c>
      <c r="M5" s="14" t="s">
        <v>58</v>
      </c>
      <c r="N5" s="14" t="s">
        <v>59</v>
      </c>
      <c r="O5" s="15" t="s">
        <v>29</v>
      </c>
      <c r="P5" s="16" t="s">
        <v>60</v>
      </c>
    </row>
    <row r="6" customFormat="false" ht="108" hidden="false" customHeight="true" outlineLevel="0" collapsed="false">
      <c r="A6" s="17" t="s">
        <v>61</v>
      </c>
      <c r="B6" s="18" t="s">
        <v>17</v>
      </c>
      <c r="C6" s="18" t="s">
        <v>62</v>
      </c>
      <c r="D6" s="19" t="s">
        <v>19</v>
      </c>
      <c r="E6" s="19" t="s">
        <v>20</v>
      </c>
      <c r="F6" s="18" t="s">
        <v>63</v>
      </c>
      <c r="G6" s="19" t="s">
        <v>22</v>
      </c>
      <c r="H6" s="18" t="s">
        <v>44</v>
      </c>
      <c r="I6" s="18" t="s">
        <v>24</v>
      </c>
      <c r="J6" s="18" t="s">
        <v>64</v>
      </c>
      <c r="K6" s="19" t="n">
        <v>200</v>
      </c>
      <c r="L6" s="18" t="s">
        <v>65</v>
      </c>
      <c r="M6" s="18" t="s">
        <v>66</v>
      </c>
      <c r="N6" s="18" t="s">
        <v>67</v>
      </c>
      <c r="O6" s="19" t="s">
        <v>29</v>
      </c>
      <c r="P6" s="20" t="s">
        <v>68</v>
      </c>
    </row>
    <row r="7" customFormat="false" ht="60" hidden="false" customHeight="true" outlineLevel="0" collapsed="false">
      <c r="A7" s="13" t="s">
        <v>69</v>
      </c>
      <c r="B7" s="14" t="s">
        <v>17</v>
      </c>
      <c r="C7" s="14" t="s">
        <v>70</v>
      </c>
      <c r="D7" s="15" t="s">
        <v>19</v>
      </c>
      <c r="E7" s="15" t="s">
        <v>20</v>
      </c>
      <c r="F7" s="14" t="s">
        <v>43</v>
      </c>
      <c r="G7" s="15" t="s">
        <v>71</v>
      </c>
      <c r="H7" s="14" t="s">
        <v>44</v>
      </c>
      <c r="I7" s="14" t="s">
        <v>24</v>
      </c>
      <c r="J7" s="14" t="s">
        <v>72</v>
      </c>
      <c r="K7" s="15" t="n">
        <v>204</v>
      </c>
      <c r="L7" s="14" t="s">
        <v>73</v>
      </c>
      <c r="M7" s="14" t="s">
        <v>74</v>
      </c>
      <c r="N7" s="14" t="s">
        <v>75</v>
      </c>
      <c r="O7" s="15" t="s">
        <v>29</v>
      </c>
      <c r="P7" s="16" t="s">
        <v>76</v>
      </c>
    </row>
    <row r="8" customFormat="false" ht="72" hidden="false" customHeight="true" outlineLevel="0" collapsed="false">
      <c r="A8" s="17" t="s">
        <v>77</v>
      </c>
      <c r="B8" s="18" t="s">
        <v>17</v>
      </c>
      <c r="C8" s="18" t="s">
        <v>78</v>
      </c>
      <c r="D8" s="19" t="s">
        <v>79</v>
      </c>
      <c r="E8" s="19" t="s">
        <v>20</v>
      </c>
      <c r="F8" s="18" t="s">
        <v>80</v>
      </c>
      <c r="G8" s="19" t="s">
        <v>22</v>
      </c>
      <c r="H8" s="18" t="s">
        <v>44</v>
      </c>
      <c r="I8" s="18" t="s">
        <v>24</v>
      </c>
      <c r="J8" s="18" t="s">
        <v>81</v>
      </c>
      <c r="K8" s="19" t="n">
        <v>404</v>
      </c>
      <c r="L8" s="18" t="s">
        <v>82</v>
      </c>
      <c r="M8" s="18" t="s">
        <v>83</v>
      </c>
      <c r="N8" s="18" t="s">
        <v>84</v>
      </c>
      <c r="O8" s="19" t="s">
        <v>29</v>
      </c>
      <c r="P8" s="20" t="s">
        <v>85</v>
      </c>
    </row>
    <row r="9" customFormat="false" ht="84" hidden="false" customHeight="true" outlineLevel="0" collapsed="false">
      <c r="A9" s="13" t="s">
        <v>86</v>
      </c>
      <c r="B9" s="14" t="s">
        <v>17</v>
      </c>
      <c r="C9" s="14" t="s">
        <v>87</v>
      </c>
      <c r="D9" s="15" t="s">
        <v>79</v>
      </c>
      <c r="E9" s="15" t="s">
        <v>20</v>
      </c>
      <c r="F9" s="14" t="s">
        <v>33</v>
      </c>
      <c r="G9" s="15" t="s">
        <v>34</v>
      </c>
      <c r="H9" s="14" t="s">
        <v>23</v>
      </c>
      <c r="I9" s="14" t="s">
        <v>88</v>
      </c>
      <c r="J9" s="14" t="s">
        <v>89</v>
      </c>
      <c r="K9" s="15" t="n">
        <v>400</v>
      </c>
      <c r="L9" s="14" t="s">
        <v>90</v>
      </c>
      <c r="M9" s="14" t="s">
        <v>91</v>
      </c>
      <c r="N9" s="14" t="s">
        <v>92</v>
      </c>
      <c r="O9" s="15" t="s">
        <v>29</v>
      </c>
      <c r="P9" s="16" t="s">
        <v>93</v>
      </c>
    </row>
    <row r="10" customFormat="false" ht="84" hidden="false" customHeight="true" outlineLevel="0" collapsed="false">
      <c r="A10" s="17" t="s">
        <v>94</v>
      </c>
      <c r="B10" s="18" t="s">
        <v>17</v>
      </c>
      <c r="C10" s="18" t="s">
        <v>95</v>
      </c>
      <c r="D10" s="19" t="s">
        <v>79</v>
      </c>
      <c r="E10" s="19" t="s">
        <v>20</v>
      </c>
      <c r="F10" s="18" t="s">
        <v>33</v>
      </c>
      <c r="G10" s="19" t="s">
        <v>34</v>
      </c>
      <c r="H10" s="18" t="s">
        <v>23</v>
      </c>
      <c r="I10" s="18" t="s">
        <v>96</v>
      </c>
      <c r="J10" s="18" t="s">
        <v>97</v>
      </c>
      <c r="K10" s="19" t="n">
        <v>400</v>
      </c>
      <c r="L10" s="18" t="s">
        <v>98</v>
      </c>
      <c r="M10" s="18" t="s">
        <v>99</v>
      </c>
      <c r="N10" s="18" t="s">
        <v>100</v>
      </c>
      <c r="O10" s="19" t="s">
        <v>29</v>
      </c>
      <c r="P10" s="20" t="s">
        <v>101</v>
      </c>
    </row>
    <row r="11" customFormat="false" ht="108" hidden="false" customHeight="true" outlineLevel="0" collapsed="false">
      <c r="A11" s="13" t="s">
        <v>102</v>
      </c>
      <c r="B11" s="14" t="s">
        <v>17</v>
      </c>
      <c r="C11" s="14" t="s">
        <v>103</v>
      </c>
      <c r="D11" s="15" t="s">
        <v>104</v>
      </c>
      <c r="E11" s="15" t="s">
        <v>105</v>
      </c>
      <c r="F11" s="14" t="s">
        <v>33</v>
      </c>
      <c r="G11" s="15" t="s">
        <v>34</v>
      </c>
      <c r="H11" s="14" t="s">
        <v>23</v>
      </c>
      <c r="I11" s="14" t="s">
        <v>106</v>
      </c>
      <c r="J11" s="14" t="s">
        <v>107</v>
      </c>
      <c r="K11" s="15" t="n">
        <v>400</v>
      </c>
      <c r="L11" s="14" t="s">
        <v>108</v>
      </c>
      <c r="M11" s="14" t="s">
        <v>109</v>
      </c>
      <c r="N11" s="14" t="s">
        <v>110</v>
      </c>
      <c r="O11" s="15" t="s">
        <v>29</v>
      </c>
      <c r="P11" s="16" t="s">
        <v>111</v>
      </c>
    </row>
    <row r="12" customFormat="false" ht="120" hidden="false" customHeight="true" outlineLevel="0" collapsed="false">
      <c r="A12" s="17" t="s">
        <v>112</v>
      </c>
      <c r="B12" s="18" t="s">
        <v>17</v>
      </c>
      <c r="C12" s="18" t="s">
        <v>113</v>
      </c>
      <c r="D12" s="19" t="s">
        <v>104</v>
      </c>
      <c r="E12" s="19" t="s">
        <v>105</v>
      </c>
      <c r="F12" s="18" t="s">
        <v>33</v>
      </c>
      <c r="G12" s="19" t="s">
        <v>34</v>
      </c>
      <c r="H12" s="18" t="s">
        <v>23</v>
      </c>
      <c r="I12" s="18" t="s">
        <v>114</v>
      </c>
      <c r="J12" s="18" t="s">
        <v>115</v>
      </c>
      <c r="K12" s="19" t="n">
        <v>201</v>
      </c>
      <c r="L12" s="18" t="s">
        <v>116</v>
      </c>
      <c r="M12" s="18" t="s">
        <v>117</v>
      </c>
      <c r="N12" s="18" t="s">
        <v>118</v>
      </c>
      <c r="O12" s="19" t="s">
        <v>29</v>
      </c>
      <c r="P12" s="20" t="s">
        <v>119</v>
      </c>
    </row>
    <row r="13" customFormat="false" ht="72" hidden="false" customHeight="true" outlineLevel="0" collapsed="false">
      <c r="A13" s="13" t="s">
        <v>120</v>
      </c>
      <c r="B13" s="14" t="s">
        <v>17</v>
      </c>
      <c r="C13" s="14" t="s">
        <v>121</v>
      </c>
      <c r="D13" s="15" t="s">
        <v>19</v>
      </c>
      <c r="E13" s="15" t="s">
        <v>122</v>
      </c>
      <c r="F13" s="14" t="s">
        <v>123</v>
      </c>
      <c r="G13" s="15" t="s">
        <v>71</v>
      </c>
      <c r="H13" s="14" t="s">
        <v>124</v>
      </c>
      <c r="I13" s="14" t="s">
        <v>24</v>
      </c>
      <c r="J13" s="14" t="s">
        <v>125</v>
      </c>
      <c r="K13" s="15" t="n">
        <v>204</v>
      </c>
      <c r="L13" s="14" t="s">
        <v>126</v>
      </c>
      <c r="M13" s="14" t="s">
        <v>127</v>
      </c>
      <c r="N13" s="14" t="s">
        <v>128</v>
      </c>
      <c r="O13" s="15" t="s">
        <v>29</v>
      </c>
      <c r="P13" s="16" t="s">
        <v>129</v>
      </c>
    </row>
    <row r="14" customFormat="false" ht="84" hidden="false" customHeight="true" outlineLevel="0" collapsed="false">
      <c r="A14" s="17" t="s">
        <v>130</v>
      </c>
      <c r="B14" s="18" t="s">
        <v>17</v>
      </c>
      <c r="C14" s="18" t="s">
        <v>131</v>
      </c>
      <c r="D14" s="19" t="s">
        <v>79</v>
      </c>
      <c r="E14" s="19" t="s">
        <v>20</v>
      </c>
      <c r="F14" s="18" t="s">
        <v>33</v>
      </c>
      <c r="G14" s="19" t="s">
        <v>34</v>
      </c>
      <c r="H14" s="18" t="s">
        <v>23</v>
      </c>
      <c r="I14" s="18" t="s">
        <v>132</v>
      </c>
      <c r="J14" s="18" t="s">
        <v>133</v>
      </c>
      <c r="K14" s="19" t="n">
        <v>400</v>
      </c>
      <c r="L14" s="18" t="s">
        <v>134</v>
      </c>
      <c r="M14" s="18" t="s">
        <v>135</v>
      </c>
      <c r="N14" s="18" t="s">
        <v>136</v>
      </c>
      <c r="O14" s="19" t="s">
        <v>29</v>
      </c>
      <c r="P14" s="20" t="s">
        <v>137</v>
      </c>
    </row>
    <row r="15" customFormat="false" ht="96" hidden="false" customHeight="true" outlineLevel="0" collapsed="false">
      <c r="A15" s="13" t="s">
        <v>138</v>
      </c>
      <c r="B15" s="14" t="s">
        <v>17</v>
      </c>
      <c r="C15" s="14" t="s">
        <v>139</v>
      </c>
      <c r="D15" s="15" t="s">
        <v>79</v>
      </c>
      <c r="E15" s="15" t="s">
        <v>20</v>
      </c>
      <c r="F15" s="14" t="s">
        <v>33</v>
      </c>
      <c r="G15" s="15" t="s">
        <v>34</v>
      </c>
      <c r="H15" s="14" t="s">
        <v>23</v>
      </c>
      <c r="I15" s="14" t="s">
        <v>140</v>
      </c>
      <c r="J15" s="14" t="s">
        <v>141</v>
      </c>
      <c r="K15" s="15" t="n">
        <v>400</v>
      </c>
      <c r="L15" s="14" t="s">
        <v>142</v>
      </c>
      <c r="M15" s="14" t="s">
        <v>143</v>
      </c>
      <c r="N15" s="14" t="s">
        <v>144</v>
      </c>
      <c r="O15" s="15" t="s">
        <v>29</v>
      </c>
      <c r="P15" s="16" t="s">
        <v>145</v>
      </c>
    </row>
    <row r="16" customFormat="false" ht="108" hidden="false" customHeight="true" outlineLevel="0" collapsed="false">
      <c r="A16" s="17" t="s">
        <v>146</v>
      </c>
      <c r="B16" s="18" t="s">
        <v>17</v>
      </c>
      <c r="C16" s="18" t="s">
        <v>147</v>
      </c>
      <c r="D16" s="19" t="s">
        <v>19</v>
      </c>
      <c r="E16" s="19" t="s">
        <v>105</v>
      </c>
      <c r="F16" s="18" t="s">
        <v>33</v>
      </c>
      <c r="G16" s="19" t="s">
        <v>34</v>
      </c>
      <c r="H16" s="18" t="s">
        <v>23</v>
      </c>
      <c r="I16" s="18" t="s">
        <v>148</v>
      </c>
      <c r="J16" s="18" t="s">
        <v>149</v>
      </c>
      <c r="K16" s="19" t="n">
        <v>201</v>
      </c>
      <c r="L16" s="18" t="s">
        <v>150</v>
      </c>
      <c r="M16" s="18" t="s">
        <v>151</v>
      </c>
      <c r="N16" s="18" t="s">
        <v>152</v>
      </c>
      <c r="O16" s="19" t="s">
        <v>29</v>
      </c>
      <c r="P16" s="20" t="s">
        <v>153</v>
      </c>
    </row>
    <row r="17" customFormat="false" ht="60" hidden="false" customHeight="true" outlineLevel="0" collapsed="false">
      <c r="A17" s="13" t="s">
        <v>154</v>
      </c>
      <c r="B17" s="14" t="s">
        <v>17</v>
      </c>
      <c r="C17" s="14" t="s">
        <v>155</v>
      </c>
      <c r="D17" s="15" t="s">
        <v>19</v>
      </c>
      <c r="E17" s="15" t="s">
        <v>122</v>
      </c>
      <c r="F17" s="14" t="s">
        <v>156</v>
      </c>
      <c r="G17" s="15" t="s">
        <v>71</v>
      </c>
      <c r="H17" s="14" t="s">
        <v>157</v>
      </c>
      <c r="I17" s="14" t="s">
        <v>24</v>
      </c>
      <c r="J17" s="14" t="s">
        <v>158</v>
      </c>
      <c r="K17" s="15" t="n">
        <v>204</v>
      </c>
      <c r="L17" s="14" t="s">
        <v>159</v>
      </c>
      <c r="M17" s="14" t="s">
        <v>160</v>
      </c>
      <c r="N17" s="14" t="s">
        <v>75</v>
      </c>
      <c r="O17" s="15" t="s">
        <v>29</v>
      </c>
      <c r="P17" s="16" t="s">
        <v>161</v>
      </c>
    </row>
    <row r="18" customFormat="false" ht="84" hidden="false" customHeight="true" outlineLevel="0" collapsed="false">
      <c r="A18" s="17" t="s">
        <v>162</v>
      </c>
      <c r="B18" s="18" t="s">
        <v>17</v>
      </c>
      <c r="C18" s="18" t="s">
        <v>163</v>
      </c>
      <c r="D18" s="19" t="s">
        <v>79</v>
      </c>
      <c r="E18" s="19" t="s">
        <v>20</v>
      </c>
      <c r="F18" s="18" t="s">
        <v>33</v>
      </c>
      <c r="G18" s="19" t="s">
        <v>34</v>
      </c>
      <c r="H18" s="18" t="s">
        <v>23</v>
      </c>
      <c r="I18" s="18" t="s">
        <v>164</v>
      </c>
      <c r="J18" s="18" t="s">
        <v>165</v>
      </c>
      <c r="K18" s="19" t="n">
        <v>400</v>
      </c>
      <c r="L18" s="18" t="s">
        <v>166</v>
      </c>
      <c r="M18" s="18" t="s">
        <v>167</v>
      </c>
      <c r="N18" s="18" t="s">
        <v>168</v>
      </c>
      <c r="O18" s="19" t="s">
        <v>29</v>
      </c>
      <c r="P18" s="20" t="s">
        <v>169</v>
      </c>
    </row>
    <row r="19" customFormat="false" ht="84" hidden="false" customHeight="true" outlineLevel="0" collapsed="false">
      <c r="A19" s="13" t="s">
        <v>170</v>
      </c>
      <c r="B19" s="14" t="s">
        <v>17</v>
      </c>
      <c r="C19" s="14" t="s">
        <v>171</v>
      </c>
      <c r="D19" s="15" t="s">
        <v>79</v>
      </c>
      <c r="E19" s="15" t="s">
        <v>105</v>
      </c>
      <c r="F19" s="14" t="s">
        <v>33</v>
      </c>
      <c r="G19" s="15" t="s">
        <v>34</v>
      </c>
      <c r="H19" s="14" t="s">
        <v>23</v>
      </c>
      <c r="I19" s="14" t="s">
        <v>172</v>
      </c>
      <c r="J19" s="14" t="s">
        <v>173</v>
      </c>
      <c r="K19" s="15" t="n">
        <v>400</v>
      </c>
      <c r="L19" s="14" t="s">
        <v>174</v>
      </c>
      <c r="M19" s="14" t="s">
        <v>175</v>
      </c>
      <c r="N19" s="14" t="s">
        <v>176</v>
      </c>
      <c r="O19" s="15" t="s">
        <v>29</v>
      </c>
      <c r="P19" s="16" t="s">
        <v>177</v>
      </c>
    </row>
    <row r="20" customFormat="false" ht="84" hidden="false" customHeight="true" outlineLevel="0" collapsed="false">
      <c r="A20" s="17" t="s">
        <v>178</v>
      </c>
      <c r="B20" s="18" t="s">
        <v>17</v>
      </c>
      <c r="C20" s="18" t="s">
        <v>179</v>
      </c>
      <c r="D20" s="19" t="s">
        <v>79</v>
      </c>
      <c r="E20" s="19" t="s">
        <v>105</v>
      </c>
      <c r="F20" s="18" t="s">
        <v>33</v>
      </c>
      <c r="G20" s="19" t="s">
        <v>34</v>
      </c>
      <c r="H20" s="18" t="s">
        <v>23</v>
      </c>
      <c r="I20" s="18" t="s">
        <v>180</v>
      </c>
      <c r="J20" s="18" t="s">
        <v>181</v>
      </c>
      <c r="K20" s="19" t="n">
        <v>400</v>
      </c>
      <c r="L20" s="18" t="s">
        <v>182</v>
      </c>
      <c r="M20" s="18" t="s">
        <v>183</v>
      </c>
      <c r="N20" s="18" t="s">
        <v>184</v>
      </c>
      <c r="O20" s="19" t="s">
        <v>29</v>
      </c>
      <c r="P20" s="20" t="s">
        <v>185</v>
      </c>
    </row>
    <row r="21" customFormat="false" ht="84" hidden="false" customHeight="true" outlineLevel="0" collapsed="false">
      <c r="A21" s="13" t="s">
        <v>186</v>
      </c>
      <c r="B21" s="14" t="s">
        <v>17</v>
      </c>
      <c r="C21" s="14" t="s">
        <v>187</v>
      </c>
      <c r="D21" s="15" t="s">
        <v>79</v>
      </c>
      <c r="E21" s="15" t="s">
        <v>105</v>
      </c>
      <c r="F21" s="14" t="s">
        <v>33</v>
      </c>
      <c r="G21" s="15" t="s">
        <v>34</v>
      </c>
      <c r="H21" s="14" t="s">
        <v>23</v>
      </c>
      <c r="I21" s="14" t="s">
        <v>188</v>
      </c>
      <c r="J21" s="14" t="s">
        <v>189</v>
      </c>
      <c r="K21" s="15" t="n">
        <v>400</v>
      </c>
      <c r="L21" s="14" t="s">
        <v>190</v>
      </c>
      <c r="M21" s="14" t="s">
        <v>191</v>
      </c>
      <c r="N21" s="14" t="s">
        <v>192</v>
      </c>
      <c r="O21" s="15" t="s">
        <v>29</v>
      </c>
      <c r="P21" s="16" t="s">
        <v>193</v>
      </c>
    </row>
    <row r="22" customFormat="false" ht="96" hidden="false" customHeight="true" outlineLevel="0" collapsed="false">
      <c r="A22" s="17" t="s">
        <v>194</v>
      </c>
      <c r="B22" s="18" t="s">
        <v>17</v>
      </c>
      <c r="C22" s="18" t="s">
        <v>195</v>
      </c>
      <c r="D22" s="19" t="s">
        <v>19</v>
      </c>
      <c r="E22" s="19" t="s">
        <v>105</v>
      </c>
      <c r="F22" s="18" t="s">
        <v>33</v>
      </c>
      <c r="G22" s="19" t="s">
        <v>34</v>
      </c>
      <c r="H22" s="18" t="s">
        <v>23</v>
      </c>
      <c r="I22" s="18" t="s">
        <v>196</v>
      </c>
      <c r="J22" s="18" t="s">
        <v>197</v>
      </c>
      <c r="K22" s="19" t="n">
        <v>201</v>
      </c>
      <c r="L22" s="18" t="s">
        <v>198</v>
      </c>
      <c r="M22" s="18" t="s">
        <v>199</v>
      </c>
      <c r="N22" s="18" t="s">
        <v>200</v>
      </c>
      <c r="O22" s="19" t="s">
        <v>29</v>
      </c>
      <c r="P22" s="20" t="s">
        <v>201</v>
      </c>
    </row>
    <row r="23" customFormat="false" ht="72" hidden="false" customHeight="true" outlineLevel="0" collapsed="false">
      <c r="A23" s="13" t="s">
        <v>202</v>
      </c>
      <c r="B23" s="14" t="s">
        <v>17</v>
      </c>
      <c r="C23" s="14" t="s">
        <v>203</v>
      </c>
      <c r="D23" s="15" t="s">
        <v>19</v>
      </c>
      <c r="E23" s="15" t="s">
        <v>122</v>
      </c>
      <c r="F23" s="14" t="s">
        <v>204</v>
      </c>
      <c r="G23" s="15" t="s">
        <v>71</v>
      </c>
      <c r="H23" s="14" t="s">
        <v>205</v>
      </c>
      <c r="I23" s="14" t="s">
        <v>24</v>
      </c>
      <c r="J23" s="14" t="s">
        <v>206</v>
      </c>
      <c r="K23" s="15" t="n">
        <v>204</v>
      </c>
      <c r="L23" s="14" t="s">
        <v>207</v>
      </c>
      <c r="M23" s="14" t="s">
        <v>208</v>
      </c>
      <c r="N23" s="14" t="s">
        <v>209</v>
      </c>
      <c r="O23" s="15" t="s">
        <v>29</v>
      </c>
      <c r="P23" s="16" t="s">
        <v>210</v>
      </c>
    </row>
    <row r="24" customFormat="false" ht="108" hidden="false" customHeight="true" outlineLevel="0" collapsed="false">
      <c r="A24" s="17" t="s">
        <v>211</v>
      </c>
      <c r="B24" s="18" t="s">
        <v>17</v>
      </c>
      <c r="C24" s="18" t="s">
        <v>212</v>
      </c>
      <c r="D24" s="19" t="s">
        <v>19</v>
      </c>
      <c r="E24" s="19" t="s">
        <v>105</v>
      </c>
      <c r="F24" s="18" t="s">
        <v>33</v>
      </c>
      <c r="G24" s="19" t="s">
        <v>34</v>
      </c>
      <c r="H24" s="18" t="s">
        <v>23</v>
      </c>
      <c r="I24" s="18" t="s">
        <v>213</v>
      </c>
      <c r="J24" s="18" t="s">
        <v>214</v>
      </c>
      <c r="K24" s="19" t="n">
        <v>201</v>
      </c>
      <c r="L24" s="18" t="s">
        <v>215</v>
      </c>
      <c r="M24" s="18" t="s">
        <v>216</v>
      </c>
      <c r="N24" s="18" t="s">
        <v>217</v>
      </c>
      <c r="O24" s="19" t="s">
        <v>29</v>
      </c>
      <c r="P24" s="20" t="s">
        <v>218</v>
      </c>
    </row>
    <row r="25" customFormat="false" ht="72" hidden="false" customHeight="true" outlineLevel="0" collapsed="false">
      <c r="A25" s="21" t="s">
        <v>219</v>
      </c>
      <c r="B25" s="22" t="s">
        <v>17</v>
      </c>
      <c r="C25" s="22" t="s">
        <v>220</v>
      </c>
      <c r="D25" s="23" t="s">
        <v>19</v>
      </c>
      <c r="E25" s="23" t="s">
        <v>122</v>
      </c>
      <c r="F25" s="22" t="s">
        <v>221</v>
      </c>
      <c r="G25" s="23" t="s">
        <v>71</v>
      </c>
      <c r="H25" s="22" t="s">
        <v>222</v>
      </c>
      <c r="I25" s="22" t="s">
        <v>24</v>
      </c>
      <c r="J25" s="22" t="s">
        <v>223</v>
      </c>
      <c r="K25" s="23" t="n">
        <v>204</v>
      </c>
      <c r="L25" s="22" t="s">
        <v>224</v>
      </c>
      <c r="M25" s="22" t="s">
        <v>225</v>
      </c>
      <c r="N25" s="22" t="s">
        <v>75</v>
      </c>
      <c r="O25" s="23" t="s">
        <v>29</v>
      </c>
      <c r="P25" s="24" t="s">
        <v>226</v>
      </c>
    </row>
  </sheetData>
  <conditionalFormatting sqref="O2:O100">
    <cfRule type="expression" priority="2" aboveAverage="0" equalAverage="0" bottom="0" percent="0" rank="0" text="" dxfId="7">
      <formula>O2="Pass"</formula>
    </cfRule>
    <cfRule type="expression" priority="3" aboveAverage="0" equalAverage="0" bottom="0" percent="0" rank="0" text="" dxfId="8">
      <formula>O2="Fail"</formula>
    </cfRule>
    <cfRule type="expression" priority="4" aboveAverage="0" equalAverage="0" bottom="0" percent="0" rank="0" text="" dxfId="9">
      <formula>O2="Not Run"</formula>
    </cfRule>
  </conditionalFormatting>
  <dataValidations count="3">
    <dataValidation allowBlank="false" errorStyle="stop" operator="between" showDropDown="false" showErrorMessage="false" showInputMessage="false" sqref="D2:D100" type="list">
      <formula1>"Positive,Negative,Boundary"</formula1>
      <formula2>0</formula2>
    </dataValidation>
    <dataValidation allowBlank="false" errorStyle="stop" operator="between" showDropDown="false" showErrorMessage="false" showInputMessage="false" sqref="E2:E100" type="list">
      <formula1>"High,Medium,Low"</formula1>
      <formula2>0</formula2>
    </dataValidation>
    <dataValidation allowBlank="false" errorStyle="stop" operator="between" showDropDown="false" showErrorMessage="false" showInputMessage="false" sqref="O2:O100" type="list">
      <formula1>"Pass,Fail,Not Run"</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B17" activeCellId="0" sqref="B17"/>
    </sheetView>
  </sheetViews>
  <sheetFormatPr defaultColWidth="8.18359375" defaultRowHeight="15" customHeight="false" zeroHeight="false" outlineLevelRow="0" outlineLevelCol="0"/>
  <cols>
    <col collapsed="false" customWidth="true" hidden="false" outlineLevel="0" max="1" min="1" style="25" width="24"/>
    <col collapsed="false" customWidth="true" hidden="false" outlineLevel="0" max="2" min="2" style="25" width="14"/>
    <col collapsed="false" customWidth="true" hidden="false" outlineLevel="0" max="3" min="3" style="25" width="4"/>
    <col collapsed="false" customWidth="true" hidden="false" outlineLevel="0" max="4" min="4" style="25" width="18"/>
    <col collapsed="false" customWidth="true" hidden="false" outlineLevel="0" max="5" min="5" style="25" width="12"/>
    <col collapsed="false" customWidth="true" hidden="false" outlineLevel="0" max="6" min="6" style="25" width="4"/>
    <col collapsed="false" customWidth="true" hidden="false" outlineLevel="0" max="7" min="7" style="25" width="20"/>
    <col collapsed="false" customWidth="true" hidden="false" outlineLevel="0" max="8" min="8" style="25" width="16"/>
    <col collapsed="false" customWidth="true" hidden="false" outlineLevel="0" max="9" min="9" style="25" width="4"/>
    <col collapsed="false" customWidth="true" hidden="false" outlineLevel="0" max="10" min="10" style="25" width="16"/>
    <col collapsed="false" customWidth="true" hidden="false" outlineLevel="0" max="11" min="11" style="25" width="12"/>
  </cols>
  <sheetData>
    <row r="1" customFormat="false" ht="30" hidden="false" customHeight="true" outlineLevel="0" collapsed="false">
      <c r="A1" s="26" t="s">
        <v>227</v>
      </c>
      <c r="B1" s="26"/>
      <c r="C1" s="26"/>
      <c r="D1" s="26"/>
      <c r="E1" s="26"/>
      <c r="F1" s="26"/>
      <c r="G1" s="26"/>
      <c r="H1" s="26"/>
      <c r="I1" s="26"/>
      <c r="J1" s="26"/>
      <c r="K1" s="26"/>
    </row>
    <row r="3" customFormat="false" ht="15" hidden="false" customHeight="false" outlineLevel="0" collapsed="false">
      <c r="A3" s="27" t="s">
        <v>14</v>
      </c>
      <c r="B3" s="28" t="s">
        <v>228</v>
      </c>
      <c r="C3" s="29"/>
      <c r="D3" s="28" t="s">
        <v>3</v>
      </c>
      <c r="E3" s="28" t="s">
        <v>228</v>
      </c>
      <c r="F3" s="29"/>
      <c r="G3" s="28" t="s">
        <v>229</v>
      </c>
      <c r="H3" s="28" t="s">
        <v>228</v>
      </c>
      <c r="I3" s="29"/>
      <c r="J3" s="28" t="s">
        <v>4</v>
      </c>
      <c r="K3" s="30" t="s">
        <v>228</v>
      </c>
    </row>
    <row r="4" customFormat="false" ht="15" hidden="false" customHeight="false" outlineLevel="0" collapsed="false">
      <c r="A4" s="31" t="s">
        <v>230</v>
      </c>
      <c r="B4" s="18" t="n">
        <f aca="false">COUNTA('Test Cases'!A2:A25)</f>
        <v>24</v>
      </c>
      <c r="C4" s="18"/>
      <c r="D4" s="18" t="s">
        <v>19</v>
      </c>
      <c r="E4" s="18" t="n">
        <f aca="false">COUNTIF('Test Cases'!D2:D25,"Positive")</f>
        <v>13</v>
      </c>
      <c r="F4" s="18"/>
      <c r="G4" s="18" t="s">
        <v>22</v>
      </c>
      <c r="H4" s="18" t="n">
        <f aca="false">COUNTIF('Test Cases'!G2:G25,"GET")</f>
        <v>4</v>
      </c>
      <c r="I4" s="18"/>
      <c r="J4" s="18" t="s">
        <v>20</v>
      </c>
      <c r="K4" s="20" t="n">
        <f aca="false">COUNTIF('Test Cases'!E2:E25,"High")</f>
        <v>12</v>
      </c>
    </row>
    <row r="5" customFormat="false" ht="15" hidden="false" customHeight="false" outlineLevel="0" collapsed="false">
      <c r="A5" s="31" t="s">
        <v>29</v>
      </c>
      <c r="B5" s="18" t="n">
        <f aca="false">COUNTIF('Test Cases'!O2:O25,"Pass")</f>
        <v>24</v>
      </c>
      <c r="C5" s="18"/>
      <c r="D5" s="18" t="s">
        <v>79</v>
      </c>
      <c r="E5" s="18" t="n">
        <f aca="false">COUNTIF('Test Cases'!D2:D25,"Negative")</f>
        <v>9</v>
      </c>
      <c r="F5" s="18"/>
      <c r="G5" s="18" t="s">
        <v>34</v>
      </c>
      <c r="H5" s="18" t="n">
        <f aca="false">COUNTIF('Test Cases'!G2:G25,"POST")</f>
        <v>14</v>
      </c>
      <c r="I5" s="18"/>
      <c r="J5" s="18" t="s">
        <v>105</v>
      </c>
      <c r="K5" s="20" t="n">
        <f aca="false">COUNTIF('Test Cases'!E2:E25,"Medium")</f>
        <v>8</v>
      </c>
    </row>
    <row r="6" customFormat="false" ht="15" hidden="false" customHeight="false" outlineLevel="0" collapsed="false">
      <c r="A6" s="31" t="s">
        <v>231</v>
      </c>
      <c r="B6" s="18" t="n">
        <f aca="false">COUNTIF('Test Cases'!O2:O25,"Fail")</f>
        <v>0</v>
      </c>
      <c r="C6" s="18"/>
      <c r="D6" s="18" t="s">
        <v>104</v>
      </c>
      <c r="E6" s="18" t="n">
        <f aca="false">COUNTIF('Test Cases'!D2:D25,"Boundary")</f>
        <v>2</v>
      </c>
      <c r="F6" s="18"/>
      <c r="G6" s="18" t="s">
        <v>54</v>
      </c>
      <c r="H6" s="18" t="n">
        <f aca="false">COUNTIF('Test Cases'!G2:G25,"PATCH")</f>
        <v>1</v>
      </c>
      <c r="I6" s="18"/>
      <c r="J6" s="18" t="s">
        <v>122</v>
      </c>
      <c r="K6" s="20" t="n">
        <f aca="false">COUNTIF('Test Cases'!E2:E25,"Low")</f>
        <v>4</v>
      </c>
    </row>
    <row r="7" customFormat="false" ht="15" hidden="false" customHeight="false" outlineLevel="0" collapsed="false">
      <c r="A7" s="31" t="s">
        <v>232</v>
      </c>
      <c r="B7" s="18" t="n">
        <f aca="false">COUNTIF('Test Cases'!O2:O25,"Not Run")</f>
        <v>0</v>
      </c>
      <c r="C7" s="18"/>
      <c r="D7" s="18"/>
      <c r="E7" s="18"/>
      <c r="F7" s="18"/>
      <c r="G7" s="18" t="s">
        <v>71</v>
      </c>
      <c r="H7" s="18" t="n">
        <f aca="false">COUNTIF('Test Cases'!G2:G25,"DELETE")</f>
        <v>5</v>
      </c>
      <c r="I7" s="18"/>
      <c r="J7" s="18"/>
      <c r="K7" s="20"/>
    </row>
    <row r="8" customFormat="false" ht="15" hidden="false" customHeight="false" outlineLevel="0" collapsed="false">
      <c r="A8" s="31"/>
      <c r="B8" s="18"/>
      <c r="C8" s="18"/>
      <c r="D8" s="18"/>
      <c r="E8" s="18"/>
      <c r="F8" s="18"/>
      <c r="G8" s="18"/>
      <c r="H8" s="18"/>
      <c r="I8" s="18"/>
      <c r="J8" s="18"/>
      <c r="K8" s="20"/>
    </row>
    <row r="9" customFormat="false" ht="15" hidden="false" customHeight="false" outlineLevel="0" collapsed="false">
      <c r="A9" s="31"/>
      <c r="B9" s="18"/>
      <c r="C9" s="18"/>
      <c r="D9" s="18"/>
      <c r="E9" s="18"/>
      <c r="F9" s="18"/>
      <c r="G9" s="18"/>
      <c r="H9" s="18"/>
      <c r="I9" s="18"/>
      <c r="J9" s="18"/>
      <c r="K9" s="20"/>
    </row>
    <row r="10" customFormat="false" ht="15" hidden="false" customHeight="true" outlineLevel="0" collapsed="false">
      <c r="A10" s="32" t="s">
        <v>233</v>
      </c>
      <c r="B10" s="32"/>
      <c r="C10" s="32"/>
      <c r="D10" s="32"/>
      <c r="E10" s="32"/>
      <c r="F10" s="32"/>
      <c r="G10" s="32"/>
      <c r="H10" s="32"/>
      <c r="I10" s="32"/>
      <c r="J10" s="32"/>
      <c r="K10" s="32"/>
    </row>
    <row r="11" customFormat="false" ht="15" hidden="false" customHeight="false" outlineLevel="0" collapsed="false">
      <c r="A11" s="33" t="s">
        <v>234</v>
      </c>
      <c r="B11" s="34" t="s">
        <v>235</v>
      </c>
      <c r="C11" s="18"/>
      <c r="D11" s="34" t="s">
        <v>234</v>
      </c>
      <c r="E11" s="34" t="s">
        <v>235</v>
      </c>
      <c r="F11" s="18"/>
      <c r="G11" s="34" t="s">
        <v>234</v>
      </c>
      <c r="H11" s="34" t="s">
        <v>235</v>
      </c>
      <c r="I11" s="18"/>
      <c r="J11" s="18"/>
      <c r="K11" s="20"/>
    </row>
    <row r="12" customFormat="false" ht="24.5" hidden="false" customHeight="false" outlineLevel="0" collapsed="false">
      <c r="A12" s="31" t="s">
        <v>236</v>
      </c>
      <c r="B12" s="18" t="s">
        <v>237</v>
      </c>
      <c r="C12" s="18"/>
      <c r="D12" s="18" t="s">
        <v>238</v>
      </c>
      <c r="E12" s="18" t="s">
        <v>239</v>
      </c>
      <c r="F12" s="18"/>
      <c r="G12" s="18" t="s">
        <v>240</v>
      </c>
      <c r="H12" s="35" t="n">
        <f aca="false">IF(B4=0,0,B5/B4)</f>
        <v>1</v>
      </c>
      <c r="I12" s="18"/>
      <c r="J12" s="18"/>
      <c r="K12" s="20"/>
    </row>
    <row r="13" customFormat="false" ht="35.75" hidden="false" customHeight="false" outlineLevel="0" collapsed="false">
      <c r="A13" s="31" t="s">
        <v>241</v>
      </c>
      <c r="B13" s="18" t="n">
        <v>1</v>
      </c>
      <c r="C13" s="18"/>
      <c r="D13" s="18" t="s">
        <v>242</v>
      </c>
      <c r="E13" s="18" t="s">
        <v>243</v>
      </c>
      <c r="F13" s="18"/>
      <c r="G13" s="18" t="s">
        <v>244</v>
      </c>
      <c r="H13" s="35" t="n">
        <f aca="false">IF(B14=0,0,B14/(B14+B15))</f>
        <v>1</v>
      </c>
      <c r="I13" s="18"/>
      <c r="J13" s="18"/>
      <c r="K13" s="20"/>
    </row>
    <row r="14" customFormat="false" ht="15" hidden="false" customHeight="false" outlineLevel="0" collapsed="false">
      <c r="A14" s="31" t="s">
        <v>245</v>
      </c>
      <c r="B14" s="18" t="n">
        <v>91</v>
      </c>
      <c r="C14" s="18"/>
      <c r="D14" s="18"/>
      <c r="E14" s="18"/>
      <c r="F14" s="18"/>
      <c r="G14" s="18"/>
      <c r="H14" s="18"/>
      <c r="I14" s="18"/>
      <c r="J14" s="18"/>
      <c r="K14" s="20"/>
    </row>
    <row r="15" customFormat="false" ht="15" hidden="false" customHeight="false" outlineLevel="0" collapsed="false">
      <c r="A15" s="31" t="s">
        <v>246</v>
      </c>
      <c r="B15" s="18" t="n">
        <v>0</v>
      </c>
      <c r="C15" s="18"/>
      <c r="D15" s="18"/>
      <c r="E15" s="18"/>
      <c r="F15" s="18"/>
      <c r="G15" s="18"/>
      <c r="H15" s="18"/>
      <c r="I15" s="18"/>
      <c r="J15" s="18"/>
      <c r="K15" s="20"/>
    </row>
    <row r="16" customFormat="false" ht="15" hidden="false" customHeight="false" outlineLevel="0" collapsed="false">
      <c r="A16" s="31" t="s">
        <v>247</v>
      </c>
      <c r="B16" s="18" t="n">
        <v>0</v>
      </c>
      <c r="C16" s="18"/>
      <c r="D16" s="18"/>
      <c r="E16" s="18"/>
      <c r="F16" s="18"/>
      <c r="G16" s="18"/>
      <c r="H16" s="18"/>
      <c r="I16" s="18"/>
      <c r="J16" s="18"/>
      <c r="K16" s="20"/>
    </row>
    <row r="17" customFormat="false" ht="15" hidden="false" customHeight="false" outlineLevel="0" collapsed="false">
      <c r="A17" s="36" t="s">
        <v>248</v>
      </c>
      <c r="B17" s="37" t="s">
        <v>249</v>
      </c>
      <c r="C17" s="37"/>
      <c r="D17" s="37"/>
      <c r="E17" s="37"/>
      <c r="F17" s="37"/>
      <c r="G17" s="37"/>
      <c r="H17" s="37"/>
      <c r="I17" s="37"/>
      <c r="J17" s="37"/>
      <c r="K17" s="38"/>
    </row>
  </sheetData>
  <mergeCells count="2">
    <mergeCell ref="A1:K1"/>
    <mergeCell ref="A10:K1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true" showRowColHeaders="true" showZeros="true" rightToLeft="false" tabSelected="true" showOutlineSymbols="true" defaultGridColor="true" view="normal" topLeftCell="A43" colorId="64" zoomScale="100" zoomScaleNormal="100" zoomScalePageLayoutView="100" workbookViewId="0">
      <selection pane="topLeft" activeCell="B47" activeCellId="0" sqref="B47"/>
    </sheetView>
  </sheetViews>
  <sheetFormatPr defaultColWidth="8.18359375" defaultRowHeight="15" customHeight="false" zeroHeight="false" outlineLevelRow="0" outlineLevelCol="0"/>
  <cols>
    <col collapsed="false" customWidth="true" hidden="false" outlineLevel="0" max="1" min="1" style="25" width="24"/>
    <col collapsed="false" customWidth="true" hidden="false" outlineLevel="0" max="2" min="2" style="25" width="88"/>
    <col collapsed="false" customWidth="true" hidden="false" outlineLevel="0" max="3" min="3" style="25" width="12"/>
    <col collapsed="false" customWidth="true" hidden="false" outlineLevel="0" max="5" min="4" style="25" width="55"/>
    <col collapsed="false" customWidth="true" hidden="false" outlineLevel="0" max="8" min="6" style="25" width="5"/>
  </cols>
  <sheetData>
    <row r="1" customFormat="false" ht="18" hidden="false" customHeight="true" outlineLevel="0" collapsed="false">
      <c r="A1" s="39" t="s">
        <v>250</v>
      </c>
      <c r="B1" s="39"/>
      <c r="C1" s="39"/>
      <c r="D1" s="39"/>
      <c r="E1" s="39"/>
      <c r="F1" s="39"/>
      <c r="G1" s="39"/>
      <c r="H1" s="39"/>
    </row>
    <row r="2" customFormat="false" ht="18" hidden="false" customHeight="true" outlineLevel="0" collapsed="false">
      <c r="A2" s="40"/>
      <c r="B2" s="41"/>
    </row>
    <row r="3" customFormat="false" ht="18" hidden="false" customHeight="true" outlineLevel="0" collapsed="false">
      <c r="A3" s="42" t="s">
        <v>251</v>
      </c>
      <c r="B3" s="43"/>
      <c r="C3" s="44"/>
      <c r="D3" s="44"/>
      <c r="E3" s="44"/>
      <c r="F3" s="44"/>
      <c r="G3" s="44"/>
      <c r="H3" s="45"/>
    </row>
    <row r="4" customFormat="false" ht="18" hidden="false" customHeight="true" outlineLevel="0" collapsed="false">
      <c r="A4" s="40" t="s">
        <v>252</v>
      </c>
      <c r="B4" s="41" t="s">
        <v>253</v>
      </c>
      <c r="C4" s="18"/>
      <c r="D4" s="18"/>
      <c r="E4" s="18"/>
      <c r="F4" s="18"/>
      <c r="G4" s="18"/>
      <c r="H4" s="46"/>
    </row>
    <row r="5" customFormat="false" ht="18" hidden="false" customHeight="true" outlineLevel="0" collapsed="false">
      <c r="A5" s="40" t="s">
        <v>254</v>
      </c>
      <c r="B5" s="41" t="s">
        <v>255</v>
      </c>
      <c r="C5" s="18"/>
      <c r="D5" s="18"/>
      <c r="E5" s="18"/>
      <c r="F5" s="18"/>
      <c r="G5" s="18"/>
      <c r="H5" s="46"/>
    </row>
    <row r="6" customFormat="false" ht="18" hidden="false" customHeight="true" outlineLevel="0" collapsed="false">
      <c r="A6" s="40" t="s">
        <v>256</v>
      </c>
      <c r="B6" s="41" t="s">
        <v>257</v>
      </c>
      <c r="C6" s="18"/>
      <c r="D6" s="18"/>
      <c r="E6" s="18"/>
      <c r="F6" s="18"/>
      <c r="G6" s="18"/>
      <c r="H6" s="46"/>
    </row>
    <row r="7" customFormat="false" ht="18" hidden="false" customHeight="true" outlineLevel="0" collapsed="false">
      <c r="A7" s="40" t="s">
        <v>258</v>
      </c>
      <c r="B7" s="41" t="s">
        <v>243</v>
      </c>
      <c r="C7" s="18"/>
      <c r="D7" s="18"/>
      <c r="E7" s="18"/>
      <c r="F7" s="18"/>
      <c r="G7" s="18"/>
      <c r="H7" s="46"/>
    </row>
    <row r="8" customFormat="false" ht="18" hidden="false" customHeight="true" outlineLevel="0" collapsed="false">
      <c r="A8" s="40" t="s">
        <v>259</v>
      </c>
      <c r="B8" s="41" t="s">
        <v>237</v>
      </c>
      <c r="C8" s="18"/>
      <c r="D8" s="18"/>
      <c r="E8" s="18"/>
      <c r="F8" s="18"/>
      <c r="G8" s="18"/>
      <c r="H8" s="46"/>
    </row>
    <row r="9" customFormat="false" ht="18" hidden="false" customHeight="true" outlineLevel="0" collapsed="false">
      <c r="A9" s="40" t="s">
        <v>260</v>
      </c>
      <c r="B9" s="41" t="s">
        <v>261</v>
      </c>
      <c r="C9" s="18"/>
      <c r="D9" s="18"/>
      <c r="E9" s="18"/>
      <c r="F9" s="18"/>
      <c r="G9" s="18"/>
      <c r="H9" s="46"/>
    </row>
    <row r="10" customFormat="false" ht="18" hidden="false" customHeight="true" outlineLevel="0" collapsed="false">
      <c r="A10" s="40" t="s">
        <v>262</v>
      </c>
      <c r="B10" s="41" t="s">
        <v>263</v>
      </c>
      <c r="C10" s="18"/>
      <c r="D10" s="18"/>
      <c r="E10" s="18"/>
      <c r="F10" s="18"/>
      <c r="G10" s="18"/>
      <c r="H10" s="46"/>
    </row>
    <row r="11" customFormat="false" ht="18" hidden="false" customHeight="true" outlineLevel="0" collapsed="false">
      <c r="A11" s="40"/>
      <c r="B11" s="41"/>
      <c r="C11" s="18"/>
      <c r="D11" s="18"/>
      <c r="E11" s="18"/>
      <c r="F11" s="18"/>
      <c r="G11" s="18"/>
      <c r="H11" s="46"/>
    </row>
    <row r="12" customFormat="false" ht="18" hidden="false" customHeight="true" outlineLevel="0" collapsed="false">
      <c r="A12" s="47" t="s">
        <v>264</v>
      </c>
      <c r="B12" s="48"/>
      <c r="C12" s="49"/>
      <c r="D12" s="49"/>
      <c r="E12" s="49"/>
      <c r="F12" s="49"/>
      <c r="G12" s="49"/>
      <c r="H12" s="50"/>
    </row>
    <row r="13" customFormat="false" ht="36" hidden="false" customHeight="true" outlineLevel="0" collapsed="false">
      <c r="A13" s="40" t="s">
        <v>265</v>
      </c>
      <c r="B13" s="41" t="s">
        <v>266</v>
      </c>
      <c r="C13" s="18"/>
      <c r="D13" s="18"/>
      <c r="E13" s="18"/>
      <c r="F13" s="18"/>
      <c r="G13" s="18"/>
      <c r="H13" s="46"/>
    </row>
    <row r="14" customFormat="false" ht="36" hidden="false" customHeight="true" outlineLevel="0" collapsed="false">
      <c r="A14" s="40" t="s">
        <v>267</v>
      </c>
      <c r="B14" s="41" t="s">
        <v>268</v>
      </c>
      <c r="C14" s="18"/>
      <c r="D14" s="18"/>
      <c r="E14" s="18"/>
      <c r="F14" s="18"/>
      <c r="G14" s="18"/>
      <c r="H14" s="46"/>
    </row>
    <row r="15" customFormat="false" ht="36" hidden="false" customHeight="true" outlineLevel="0" collapsed="false">
      <c r="A15" s="40" t="s">
        <v>269</v>
      </c>
      <c r="B15" s="41" t="s">
        <v>270</v>
      </c>
      <c r="C15" s="18"/>
      <c r="D15" s="18"/>
      <c r="E15" s="18"/>
      <c r="F15" s="18"/>
      <c r="G15" s="18"/>
      <c r="H15" s="46"/>
    </row>
    <row r="16" customFormat="false" ht="36" hidden="false" customHeight="true" outlineLevel="0" collapsed="false">
      <c r="A16" s="40" t="s">
        <v>271</v>
      </c>
      <c r="B16" s="41" t="s">
        <v>272</v>
      </c>
      <c r="C16" s="18"/>
      <c r="D16" s="18"/>
      <c r="E16" s="18"/>
      <c r="F16" s="18"/>
      <c r="G16" s="18"/>
      <c r="H16" s="46"/>
    </row>
    <row r="17" customFormat="false" ht="18" hidden="false" customHeight="true" outlineLevel="0" collapsed="false">
      <c r="A17" s="40"/>
      <c r="B17" s="41"/>
      <c r="C17" s="18"/>
      <c r="D17" s="18"/>
      <c r="E17" s="18"/>
      <c r="F17" s="18"/>
      <c r="G17" s="18"/>
      <c r="H17" s="46"/>
    </row>
    <row r="18" customFormat="false" ht="18" hidden="false" customHeight="true" outlineLevel="0" collapsed="false">
      <c r="A18" s="47" t="s">
        <v>273</v>
      </c>
      <c r="B18" s="48"/>
      <c r="C18" s="49"/>
      <c r="D18" s="49"/>
      <c r="E18" s="49"/>
      <c r="F18" s="49"/>
      <c r="G18" s="49"/>
      <c r="H18" s="50"/>
    </row>
    <row r="19" customFormat="false" ht="18" hidden="false" customHeight="true" outlineLevel="0" collapsed="false">
      <c r="A19" s="40" t="s">
        <v>230</v>
      </c>
      <c r="B19" s="41" t="n">
        <v>24</v>
      </c>
      <c r="C19" s="18"/>
      <c r="D19" s="18"/>
      <c r="E19" s="18"/>
      <c r="F19" s="18"/>
      <c r="G19" s="18"/>
      <c r="H19" s="46"/>
    </row>
    <row r="20" customFormat="false" ht="18" hidden="false" customHeight="true" outlineLevel="0" collapsed="false">
      <c r="A20" s="40" t="s">
        <v>274</v>
      </c>
      <c r="B20" s="41" t="n">
        <v>24</v>
      </c>
      <c r="C20" s="18"/>
      <c r="D20" s="18"/>
      <c r="E20" s="18"/>
      <c r="F20" s="18"/>
      <c r="G20" s="18"/>
      <c r="H20" s="46"/>
    </row>
    <row r="21" customFormat="false" ht="18" hidden="false" customHeight="true" outlineLevel="0" collapsed="false">
      <c r="A21" s="40" t="s">
        <v>275</v>
      </c>
      <c r="B21" s="41" t="n">
        <v>0</v>
      </c>
      <c r="C21" s="18"/>
      <c r="D21" s="18"/>
      <c r="E21" s="18"/>
      <c r="F21" s="18"/>
      <c r="G21" s="18"/>
      <c r="H21" s="46"/>
    </row>
    <row r="22" customFormat="false" ht="18" hidden="false" customHeight="true" outlineLevel="0" collapsed="false">
      <c r="A22" s="40" t="s">
        <v>232</v>
      </c>
      <c r="B22" s="41" t="n">
        <v>0</v>
      </c>
      <c r="C22" s="18"/>
      <c r="D22" s="18"/>
      <c r="E22" s="18"/>
      <c r="F22" s="18"/>
      <c r="G22" s="18"/>
      <c r="H22" s="46"/>
    </row>
    <row r="23" customFormat="false" ht="18" hidden="false" customHeight="true" outlineLevel="0" collapsed="false">
      <c r="A23" s="40" t="s">
        <v>245</v>
      </c>
      <c r="B23" s="41" t="n">
        <v>91</v>
      </c>
      <c r="C23" s="18"/>
      <c r="D23" s="18"/>
      <c r="E23" s="18"/>
      <c r="F23" s="18"/>
      <c r="G23" s="18"/>
      <c r="H23" s="46"/>
    </row>
    <row r="24" customFormat="false" ht="18" hidden="false" customHeight="true" outlineLevel="0" collapsed="false">
      <c r="A24" s="40" t="s">
        <v>246</v>
      </c>
      <c r="B24" s="41" t="n">
        <v>0</v>
      </c>
      <c r="C24" s="18"/>
      <c r="D24" s="18"/>
      <c r="E24" s="18"/>
      <c r="F24" s="18"/>
      <c r="G24" s="18"/>
      <c r="H24" s="46"/>
    </row>
    <row r="25" customFormat="false" ht="18" hidden="false" customHeight="true" outlineLevel="0" collapsed="false">
      <c r="A25" s="40" t="s">
        <v>276</v>
      </c>
      <c r="B25" s="41" t="n">
        <v>0</v>
      </c>
      <c r="C25" s="18"/>
      <c r="D25" s="18"/>
      <c r="E25" s="18"/>
      <c r="F25" s="18"/>
      <c r="G25" s="18"/>
      <c r="H25" s="46"/>
    </row>
    <row r="26" customFormat="false" ht="18" hidden="false" customHeight="true" outlineLevel="0" collapsed="false">
      <c r="A26" s="40" t="s">
        <v>277</v>
      </c>
      <c r="B26" s="51" t="n">
        <v>0</v>
      </c>
      <c r="C26" s="18"/>
      <c r="D26" s="18"/>
      <c r="E26" s="18"/>
      <c r="F26" s="18"/>
      <c r="G26" s="18"/>
      <c r="H26" s="46"/>
    </row>
    <row r="27" customFormat="false" ht="18" hidden="false" customHeight="true" outlineLevel="0" collapsed="false">
      <c r="A27" s="40" t="s">
        <v>278</v>
      </c>
      <c r="B27" s="52" t="s">
        <v>29</v>
      </c>
      <c r="C27" s="18"/>
      <c r="D27" s="18"/>
      <c r="E27" s="18"/>
      <c r="F27" s="18"/>
      <c r="G27" s="18"/>
      <c r="H27" s="46"/>
    </row>
    <row r="28" customFormat="false" ht="18" hidden="false" customHeight="true" outlineLevel="0" collapsed="false">
      <c r="A28" s="47" t="s">
        <v>248</v>
      </c>
      <c r="B28" s="48" t="s">
        <v>249</v>
      </c>
      <c r="C28" s="49"/>
      <c r="D28" s="49"/>
      <c r="E28" s="49"/>
      <c r="F28" s="49"/>
      <c r="G28" s="49"/>
      <c r="H28" s="50"/>
    </row>
    <row r="29" customFormat="false" ht="18" hidden="false" customHeight="true" outlineLevel="0" collapsed="false">
      <c r="A29" s="40" t="s">
        <v>238</v>
      </c>
      <c r="B29" s="41" t="s">
        <v>239</v>
      </c>
      <c r="C29" s="18"/>
      <c r="D29" s="18"/>
      <c r="E29" s="18"/>
      <c r="F29" s="18"/>
      <c r="G29" s="18"/>
      <c r="H29" s="46"/>
    </row>
    <row r="30" customFormat="false" ht="18" hidden="false" customHeight="true" outlineLevel="0" collapsed="false">
      <c r="A30" s="40"/>
      <c r="B30" s="41"/>
      <c r="C30" s="18"/>
      <c r="D30" s="18"/>
      <c r="E30" s="18"/>
      <c r="F30" s="18"/>
      <c r="G30" s="18"/>
      <c r="H30" s="46"/>
    </row>
    <row r="31" customFormat="false" ht="18" hidden="false" customHeight="true" outlineLevel="0" collapsed="false">
      <c r="A31" s="47" t="s">
        <v>279</v>
      </c>
      <c r="B31" s="48"/>
      <c r="C31" s="18"/>
      <c r="D31" s="18"/>
      <c r="E31" s="18"/>
      <c r="F31" s="18"/>
      <c r="G31" s="18"/>
      <c r="H31" s="46"/>
    </row>
    <row r="32" customFormat="false" ht="18" hidden="false" customHeight="true" outlineLevel="0" collapsed="false">
      <c r="A32" s="40" t="s">
        <v>280</v>
      </c>
      <c r="B32" s="41" t="s">
        <v>281</v>
      </c>
      <c r="C32" s="18"/>
      <c r="D32" s="18"/>
      <c r="E32" s="18"/>
      <c r="F32" s="18"/>
      <c r="G32" s="18"/>
      <c r="H32" s="46"/>
    </row>
    <row r="33" customFormat="false" ht="18" hidden="false" customHeight="true" outlineLevel="0" collapsed="false">
      <c r="A33" s="40" t="s">
        <v>282</v>
      </c>
      <c r="B33" s="41" t="s">
        <v>283</v>
      </c>
      <c r="C33" s="18"/>
      <c r="D33" s="18"/>
      <c r="E33" s="18"/>
      <c r="F33" s="18"/>
      <c r="G33" s="18"/>
      <c r="H33" s="46"/>
    </row>
    <row r="34" customFormat="false" ht="18" hidden="false" customHeight="true" outlineLevel="0" collapsed="false">
      <c r="A34" s="40" t="s">
        <v>284</v>
      </c>
      <c r="B34" s="41" t="s">
        <v>285</v>
      </c>
      <c r="C34" s="18"/>
      <c r="D34" s="18"/>
      <c r="E34" s="18"/>
      <c r="F34" s="18"/>
      <c r="G34" s="18"/>
      <c r="H34" s="46"/>
    </row>
    <row r="35" customFormat="false" ht="18" hidden="false" customHeight="true" outlineLevel="0" collapsed="false">
      <c r="A35" s="40" t="s">
        <v>286</v>
      </c>
      <c r="B35" s="41" t="s">
        <v>287</v>
      </c>
      <c r="C35" s="18"/>
      <c r="D35" s="18"/>
      <c r="E35" s="18"/>
      <c r="F35" s="18"/>
      <c r="G35" s="18"/>
      <c r="H35" s="46"/>
    </row>
    <row r="36" customFormat="false" ht="36" hidden="false" customHeight="true" outlineLevel="0" collapsed="false">
      <c r="A36" s="53" t="s">
        <v>288</v>
      </c>
      <c r="B36" s="54" t="s">
        <v>289</v>
      </c>
      <c r="C36" s="55"/>
      <c r="D36" s="55"/>
      <c r="E36" s="55"/>
      <c r="F36" s="18"/>
      <c r="G36" s="18"/>
      <c r="H36" s="46"/>
    </row>
    <row r="37" customFormat="false" ht="36" hidden="false" customHeight="true" outlineLevel="0" collapsed="false">
      <c r="A37" s="40" t="s">
        <v>290</v>
      </c>
      <c r="B37" s="41" t="s">
        <v>291</v>
      </c>
      <c r="C37" s="18"/>
      <c r="D37" s="18"/>
      <c r="E37" s="18"/>
      <c r="F37" s="18"/>
      <c r="G37" s="18"/>
      <c r="H37" s="46"/>
    </row>
    <row r="38" customFormat="false" ht="18" hidden="false" customHeight="true" outlineLevel="0" collapsed="false">
      <c r="A38" s="40"/>
      <c r="B38" s="41"/>
      <c r="C38" s="18"/>
      <c r="D38" s="18"/>
      <c r="E38" s="18"/>
      <c r="F38" s="18"/>
      <c r="G38" s="18"/>
      <c r="H38" s="46"/>
    </row>
    <row r="39" customFormat="false" ht="18" hidden="false" customHeight="true" outlineLevel="0" collapsed="false">
      <c r="A39" s="47" t="s">
        <v>292</v>
      </c>
      <c r="B39" s="48"/>
      <c r="C39" s="18"/>
      <c r="D39" s="18"/>
      <c r="E39" s="18"/>
      <c r="F39" s="18"/>
      <c r="G39" s="18"/>
      <c r="H39" s="46"/>
    </row>
    <row r="40" customFormat="false" ht="18" hidden="false" customHeight="true" outlineLevel="0" collapsed="false">
      <c r="A40" s="40" t="s">
        <v>293</v>
      </c>
      <c r="B40" s="52" t="s">
        <v>294</v>
      </c>
      <c r="C40" s="18"/>
      <c r="D40" s="18"/>
      <c r="E40" s="18"/>
      <c r="F40" s="18"/>
      <c r="G40" s="18"/>
      <c r="H40" s="46"/>
    </row>
    <row r="41" customFormat="false" ht="36" hidden="false" customHeight="true" outlineLevel="0" collapsed="false">
      <c r="A41" s="40" t="s">
        <v>295</v>
      </c>
      <c r="B41" s="41" t="s">
        <v>296</v>
      </c>
      <c r="C41" s="18"/>
      <c r="D41" s="18"/>
      <c r="E41" s="18"/>
      <c r="F41" s="18"/>
      <c r="G41" s="18"/>
      <c r="H41" s="46"/>
    </row>
    <row r="42" customFormat="false" ht="18" hidden="false" customHeight="true" outlineLevel="0" collapsed="false">
      <c r="A42" s="40"/>
      <c r="B42" s="41"/>
      <c r="C42" s="18"/>
      <c r="D42" s="18"/>
      <c r="E42" s="18"/>
      <c r="F42" s="18"/>
      <c r="G42" s="18"/>
      <c r="H42" s="46"/>
    </row>
    <row r="43" customFormat="false" ht="18" hidden="false" customHeight="true" outlineLevel="0" collapsed="false">
      <c r="A43" s="47" t="s">
        <v>297</v>
      </c>
      <c r="B43" s="48"/>
      <c r="C43" s="18"/>
      <c r="D43" s="18"/>
      <c r="E43" s="18"/>
      <c r="F43" s="18"/>
      <c r="G43" s="18"/>
      <c r="H43" s="46"/>
    </row>
    <row r="44" customFormat="false" ht="36" hidden="false" customHeight="true" outlineLevel="0" collapsed="false">
      <c r="A44" s="47" t="s">
        <v>298</v>
      </c>
      <c r="B44" s="48" t="s">
        <v>299</v>
      </c>
      <c r="C44" s="49"/>
      <c r="D44" s="49"/>
      <c r="E44" s="49"/>
      <c r="F44" s="49"/>
      <c r="G44" s="49"/>
      <c r="H44" s="50"/>
    </row>
    <row r="45" customFormat="false" ht="36" hidden="false" customHeight="true" outlineLevel="0" collapsed="false">
      <c r="A45" s="40" t="s">
        <v>300</v>
      </c>
      <c r="B45" s="41" t="s">
        <v>301</v>
      </c>
      <c r="C45" s="18"/>
      <c r="D45" s="18"/>
      <c r="E45" s="18"/>
      <c r="F45" s="18"/>
      <c r="G45" s="18"/>
      <c r="H45" s="46"/>
    </row>
    <row r="46" customFormat="false" ht="36" hidden="false" customHeight="true" outlineLevel="0" collapsed="false">
      <c r="A46" s="40" t="s">
        <v>302</v>
      </c>
      <c r="B46" s="41" t="s">
        <v>303</v>
      </c>
      <c r="C46" s="18"/>
      <c r="D46" s="18"/>
      <c r="E46" s="18"/>
      <c r="F46" s="18"/>
      <c r="G46" s="18"/>
      <c r="H46" s="46"/>
    </row>
    <row r="47" customFormat="false" ht="36" hidden="false" customHeight="true" outlineLevel="0" collapsed="false">
      <c r="A47" s="40" t="s">
        <v>304</v>
      </c>
      <c r="B47" s="41" t="s">
        <v>305</v>
      </c>
      <c r="C47" s="18"/>
      <c r="D47" s="18"/>
      <c r="E47" s="18"/>
      <c r="F47" s="18"/>
      <c r="G47" s="18"/>
      <c r="H47" s="46"/>
    </row>
    <row r="48" customFormat="false" ht="18" hidden="false" customHeight="true" outlineLevel="0" collapsed="false">
      <c r="A48" s="40"/>
      <c r="B48" s="41"/>
      <c r="C48" s="18"/>
      <c r="D48" s="18"/>
      <c r="E48" s="18"/>
      <c r="F48" s="18"/>
      <c r="G48" s="18"/>
      <c r="H48" s="46"/>
    </row>
    <row r="49" customFormat="false" ht="18" hidden="false" customHeight="true" outlineLevel="0" collapsed="false">
      <c r="A49" s="47" t="s">
        <v>306</v>
      </c>
      <c r="B49" s="48"/>
      <c r="C49" s="18"/>
      <c r="D49" s="18"/>
      <c r="E49" s="18"/>
      <c r="F49" s="18"/>
      <c r="G49" s="18"/>
      <c r="H49" s="46"/>
    </row>
    <row r="50" customFormat="false" ht="18" hidden="false" customHeight="true" outlineLevel="0" collapsed="false">
      <c r="A50" s="40" t="s">
        <v>235</v>
      </c>
      <c r="B50" s="52" t="s">
        <v>29</v>
      </c>
      <c r="C50" s="18"/>
      <c r="D50" s="18"/>
      <c r="E50" s="18"/>
      <c r="F50" s="18"/>
      <c r="G50" s="18"/>
      <c r="H50" s="46"/>
    </row>
    <row r="51" customFormat="false" ht="36" hidden="false" customHeight="true" outlineLevel="0" collapsed="false">
      <c r="A51" s="47" t="s">
        <v>295</v>
      </c>
      <c r="B51" s="48" t="s">
        <v>307</v>
      </c>
      <c r="C51" s="49"/>
      <c r="D51" s="49"/>
      <c r="E51" s="49"/>
      <c r="F51" s="49"/>
      <c r="G51" s="49"/>
      <c r="H51" s="50"/>
    </row>
    <row r="52" customFormat="false" ht="36" hidden="false" customHeight="true" outlineLevel="0" collapsed="false">
      <c r="A52" s="56" t="s">
        <v>308</v>
      </c>
      <c r="B52" s="57" t="s">
        <v>309</v>
      </c>
      <c r="C52" s="18"/>
      <c r="D52" s="18"/>
      <c r="E52" s="18"/>
      <c r="F52" s="18"/>
      <c r="G52" s="18"/>
      <c r="H52" s="46"/>
    </row>
    <row r="53" customFormat="false" ht="36" hidden="false" customHeight="true" outlineLevel="0" collapsed="false">
      <c r="A53" s="58"/>
      <c r="B53" s="18"/>
      <c r="C53" s="18"/>
      <c r="D53" s="18"/>
      <c r="E53" s="18"/>
      <c r="F53" s="18"/>
      <c r="G53" s="18"/>
      <c r="H53" s="46"/>
    </row>
    <row r="54" customFormat="false" ht="24" hidden="false" customHeight="true" outlineLevel="0" collapsed="false">
      <c r="A54" s="59"/>
      <c r="B54" s="60"/>
      <c r="C54" s="60"/>
      <c r="D54" s="60"/>
      <c r="E54" s="60"/>
      <c r="F54" s="60"/>
      <c r="G54" s="60"/>
      <c r="H54" s="61"/>
    </row>
  </sheetData>
  <mergeCells count="1">
    <mergeCell ref="A1:H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2026-07-22T17:29:25Z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